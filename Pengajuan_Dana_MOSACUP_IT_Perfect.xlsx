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gajuan dan Laporan" state="visible" r:id="rId4"/>
  </sheets>
  <calcPr calcId="171027"/>
</workbook>
</file>

<file path=xl/sharedStrings.xml><?xml version="1.0" encoding="utf-8"?>
<sst xmlns="http://schemas.openxmlformats.org/spreadsheetml/2006/main" count="48" uniqueCount="44">
  <si>
    <t xml:space="preserve">                       PESANTREN AL-ANDALUS &amp; AL-IMAM AL ISLAMI</t>
  </si>
  <si>
    <t>PENGAJUAN DANA &amp; LAPORAN REALISASI</t>
  </si>
  <si>
    <t>Tanggal</t>
  </si>
  <si>
    <t>: 22-Jul-2026</t>
  </si>
  <si>
    <t>No.</t>
  </si>
  <si>
    <t>:</t>
  </si>
  <si>
    <t>Nama Pemohon</t>
  </si>
  <si>
    <t>: Ust. Iqbal (Ketua Panitia) &amp; Rieza Eka Tomara (IT)</t>
  </si>
  <si>
    <t>Unit/Bidang</t>
  </si>
  <si>
    <t>: IT</t>
  </si>
  <si>
    <t>Tujuan Pemakaian Dana</t>
  </si>
  <si>
    <t>: Biaya IT &amp; Hadiah MOSA CUP 2026</t>
  </si>
  <si>
    <t>Uraian</t>
  </si>
  <si>
    <t>Permohonan</t>
  </si>
  <si>
    <t>Sumber Dana</t>
  </si>
  <si>
    <t>Realisasi</t>
  </si>
  <si>
    <t xml:space="preserve">Keterangan
(Sisa Belanja)</t>
  </si>
  <si>
    <t>Qty</t>
  </si>
  <si>
    <t>Ket.</t>
  </si>
  <si>
    <t xml:space="preserve">Harga Satuan
(Rp)</t>
  </si>
  <si>
    <t>Total Harga</t>
  </si>
  <si>
    <t>Total Harga (Rp)</t>
  </si>
  <si>
    <t>Perpanjangan Cloud Server Virtual Machine (VM)</t>
  </si>
  <si>
    <t>bulan</t>
  </si>
  <si>
    <t>--- KEPERLUAN HADIAH &amp; ALAT MOSA CUP ---</t>
  </si>
  <si>
    <t>Bola Sepak + Peluit + Ongkir (Paket)</t>
  </si>
  <si>
    <t>paket</t>
  </si>
  <si>
    <t>Voucher Subsidi Paas Mart (50 Lembar @ Rp 5.000)</t>
  </si>
  <si>
    <t>tiket</t>
  </si>
  <si>
    <t>Piala Plastik Set (Juara 1, 2, 3)</t>
  </si>
  <si>
    <t>set</t>
  </si>
  <si>
    <t>Total Pengajuan</t>
  </si>
  <si>
    <t>Menyetujui,</t>
  </si>
  <si>
    <t>Mengetahui,</t>
  </si>
  <si>
    <t>Laporan</t>
  </si>
  <si>
    <t>Mudir Pesantren</t>
  </si>
  <si>
    <t>Kepala Seksi IT</t>
  </si>
  <si>
    <t>Pemohon</t>
  </si>
  <si>
    <t>Penerima Dana</t>
  </si>
  <si>
    <t>Diperiksa,</t>
  </si>
  <si>
    <t>Diterima,</t>
  </si>
  <si>
    <t>Ust. Wahab Rajasam, M.Pd.</t>
  </si>
  <si>
    <t>Rieza Eka Tomara</t>
  </si>
  <si>
    <t>Ust. Iqbal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</si>
</sst>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;[Red]-&quot;Rp&quot;#,##0"/>
  </numFmts>
  <fonts count="6" x14ac:knownFonts="1">
    <font>
      <color theme="1"/>
      <family val="2"/>
      <scheme val="minor"/>
      <sz val="11"/>
      <name val="Calibri"/>
    </font>
    <font>
      <b/>
      <color rgb="FF550000"/>
      <sz val="16"/>
      <name val="Arial"/>
    </font>
    <font>
      <b/>
      <color rgb="FFFFFFFF"/>
      <sz val="14"/>
      <name val="Arial"/>
    </font>
    <font>
      <b/>
      <color rgb="FFFFFFFF"/>
      <name val="Arial"/>
    </font>
    <font>
      <b/>
      <color rgb="FF55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550000"/>
      </patternFill>
    </fill>
    <fill>
      <patternFill patternType="solid">
        <fgColor rgb="FFDDC1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DC192"/>
      </left>
      <right style="thin">
        <color rgb="FFDDC192"/>
      </right>
      <top style="thin">
        <color rgb="FFDDC192"/>
      </top>
      <bottom style="thin">
        <color rgb="FFDDC192"/>
      </bottom>
      <diagonal/>
    </border>
    <border>
      <left style="thin"/>
      <right style="thin"/>
      <top style="thin"/>
      <bottom style="double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0" fontId="4" fillId="3" borderId="2" xfId="0" applyFont="1" applyFill="1" applyBorder="1"/>
    <xf numFmtId="0" fontId="5" fillId="0" borderId="3" xfId="0" applyFont="1" applyBorder="1" applyAlignment="1">
      <alignment horizontal="right"/>
    </xf>
    <xf numFmtId="164" fontId="5" fillId="0" borderId="3" xfId="0" applyNumberFormat="1" applyFont="1" applyBorder="1"/>
    <xf numFmtId="0" fontId="0" fillId="0" borderId="3" xfId="0" applyBorder="1"/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5000</xdr:colOff>
      <xdr:row>0</xdr:row>
      <xdr:rowOff>18000</xdr:rowOff>
    </xdr:from>
    <xdr:ext cx="1333500" cy="590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90000</xdr:colOff>
      <xdr:row>0</xdr:row>
      <xdr:rowOff>18000</xdr:rowOff>
    </xdr:from>
    <xdr:ext cx="590550" cy="5905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4"/>
  <sheetFormatPr defaultRowHeight="15" outlineLevelRow="0" outlineLevelCol="0" x14ac:dyDescent="55"/>
  <cols>
    <col min="1" max="1" width="3" customWidth="1"/>
    <col min="2" max="2" width="5" customWidth="1"/>
    <col min="3" max="3" width="45" customWidth="1"/>
    <col min="4" max="5" width="2" customWidth="1"/>
    <col min="6" max="7" width="8" customWidth="1"/>
    <col min="8" max="8" width="2" customWidth="1"/>
    <col min="9" max="10" width="18" customWidth="1"/>
    <col min="11" max="11" width="15" customWidth="1"/>
    <col min="12" max="12" width="8" customWidth="1"/>
    <col min="13" max="14" width="18" customWidth="1"/>
    <col min="15" max="15" width="20" customWidth="1"/>
  </cols>
  <sheetData>
    <row r="1" ht="55" customHeight="1" spans="2:1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spans="2:14" x14ac:dyDescent="0.25">
      <c r="B5" t="s">
        <v>2</v>
      </c>
      <c r="C5" t="s">
        <v>3</v>
      </c>
      <c r="M5" t="s">
        <v>4</v>
      </c>
      <c r="N5" t="s">
        <v>5</v>
      </c>
    </row>
    <row r="6" spans="2:14" x14ac:dyDescent="0.25">
      <c r="B6" t="s">
        <v>6</v>
      </c>
      <c r="C6" t="s">
        <v>7</v>
      </c>
      <c r="M6" t="s">
        <v>8</v>
      </c>
      <c r="N6" t="s">
        <v>9</v>
      </c>
    </row>
    <row r="7" spans="2:3" x14ac:dyDescent="0.25">
      <c r="B7" t="s">
        <v>10</v>
      </c>
      <c r="C7" t="s">
        <v>11</v>
      </c>
    </row>
    <row r="8" spans="2:15" x14ac:dyDescent="0.25">
      <c r="B8" s="3" t="s">
        <v>4</v>
      </c>
      <c r="C8" s="3" t="s">
        <v>12</v>
      </c>
      <c r="D8" s="3"/>
      <c r="E8" s="3"/>
      <c r="F8" s="3" t="s">
        <v>13</v>
      </c>
      <c r="G8" s="3"/>
      <c r="H8" s="3"/>
      <c r="I8" s="3"/>
      <c r="J8" s="3"/>
      <c r="K8" s="3" t="s">
        <v>14</v>
      </c>
      <c r="L8" s="3" t="s">
        <v>15</v>
      </c>
      <c r="M8" s="3"/>
      <c r="N8" s="3"/>
      <c r="O8" s="3" t="s">
        <v>16</v>
      </c>
    </row>
    <row r="9" spans="2:15" x14ac:dyDescent="0.25">
      <c r="B9" s="3"/>
      <c r="C9" s="3"/>
      <c r="D9" s="3"/>
      <c r="E9" s="3"/>
      <c r="F9" s="3" t="s">
        <v>17</v>
      </c>
      <c r="G9" s="3" t="s">
        <v>18</v>
      </c>
      <c r="H9" s="3"/>
      <c r="I9" s="3" t="s">
        <v>19</v>
      </c>
      <c r="J9" s="3" t="s">
        <v>20</v>
      </c>
      <c r="K9" s="3"/>
      <c r="L9" s="3" t="s">
        <v>17</v>
      </c>
      <c r="M9" s="3" t="s">
        <v>19</v>
      </c>
      <c r="N9" s="3" t="s">
        <v>21</v>
      </c>
      <c r="O9" s="3"/>
    </row>
    <row r="10" spans="2:15" x14ac:dyDescent="0.25">
      <c r="B10" s="4">
        <v>1</v>
      </c>
      <c r="C10" s="4" t="s">
        <v>22</v>
      </c>
      <c r="D10" s="4"/>
      <c r="E10" s="4"/>
      <c r="F10" s="4">
        <v>1</v>
      </c>
      <c r="G10" s="4" t="s">
        <v>23</v>
      </c>
      <c r="H10" s="4"/>
      <c r="I10" s="5">
        <v>150000</v>
      </c>
      <c r="J10" s="5">
        <f>I10*F10</f>
      </c>
      <c r="K10" s="4"/>
      <c r="L10" s="4"/>
      <c r="M10" s="4"/>
      <c r="N10" s="4"/>
      <c r="O10" s="4"/>
    </row>
    <row r="11" spans="2:15" x14ac:dyDescent="0.25">
      <c r="B11" s="4"/>
      <c r="C11" s="6" t="s">
        <v>24</v>
      </c>
      <c r="D11" s="6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2:15" x14ac:dyDescent="0.25">
      <c r="B12" s="4">
        <v>2</v>
      </c>
      <c r="C12" s="4" t="s">
        <v>25</v>
      </c>
      <c r="D12" s="4"/>
      <c r="E12" s="4"/>
      <c r="F12" s="4">
        <v>1</v>
      </c>
      <c r="G12" s="4" t="s">
        <v>26</v>
      </c>
      <c r="H12" s="4"/>
      <c r="I12" s="5">
        <v>161000</v>
      </c>
      <c r="J12" s="5">
        <f>I12*F12</f>
      </c>
      <c r="K12" s="4"/>
      <c r="L12" s="4"/>
      <c r="M12" s="4"/>
      <c r="N12" s="4"/>
      <c r="O12" s="4"/>
    </row>
    <row r="13" spans="2:15" x14ac:dyDescent="0.25">
      <c r="B13" s="4">
        <v>3</v>
      </c>
      <c r="C13" s="4" t="s">
        <v>27</v>
      </c>
      <c r="D13" s="4"/>
      <c r="E13" s="4"/>
      <c r="F13" s="4">
        <v>50</v>
      </c>
      <c r="G13" s="4" t="s">
        <v>28</v>
      </c>
      <c r="H13" s="4"/>
      <c r="I13" s="5">
        <v>5000</v>
      </c>
      <c r="J13" s="5">
        <f>I13*F13</f>
      </c>
      <c r="K13" s="4"/>
      <c r="L13" s="4"/>
      <c r="M13" s="4"/>
      <c r="N13" s="4"/>
      <c r="O13" s="4"/>
    </row>
    <row r="14" spans="2:15" x14ac:dyDescent="0.25">
      <c r="B14" s="4">
        <v>4</v>
      </c>
      <c r="C14" s="4" t="s">
        <v>29</v>
      </c>
      <c r="D14" s="4"/>
      <c r="E14" s="4"/>
      <c r="F14" s="4">
        <v>1</v>
      </c>
      <c r="G14" s="4" t="s">
        <v>30</v>
      </c>
      <c r="H14" s="4"/>
      <c r="I14" s="5">
        <v>45000</v>
      </c>
      <c r="J14" s="5">
        <f>I14*F14</f>
      </c>
      <c r="K14" s="4"/>
      <c r="L14" s="4"/>
      <c r="M14" s="4"/>
      <c r="N14" s="4"/>
      <c r="O14" s="4"/>
    </row>
    <row r="15" spans="2:15" x14ac:dyDescent="0.25">
      <c r="B15" s="7" t="s">
        <v>31</v>
      </c>
      <c r="C15" s="7"/>
      <c r="D15" s="7"/>
      <c r="E15" s="7"/>
      <c r="F15" s="7"/>
      <c r="G15" s="7"/>
      <c r="H15" s="7"/>
      <c r="I15" s="7"/>
      <c r="J15" s="8">
        <f>SUM(J10:J14)</f>
      </c>
      <c r="K15" s="9"/>
      <c r="L15" s="9"/>
      <c r="M15" s="9"/>
      <c r="N15" s="9"/>
      <c r="O15" s="9"/>
    </row>
    <row r="18" spans="2:15" x14ac:dyDescent="0.25">
      <c r="B18" t="s">
        <v>32</v>
      </c>
      <c r="F18" t="s">
        <v>33</v>
      </c>
      <c r="M18" s="10" t="s">
        <v>34</v>
      </c>
      <c r="N18" s="10"/>
      <c r="O18" s="10"/>
    </row>
    <row r="19" spans="2:15" x14ac:dyDescent="0.25">
      <c r="B19" t="s">
        <v>35</v>
      </c>
      <c r="F19" t="s">
        <v>36</v>
      </c>
      <c r="I19" t="s">
        <v>37</v>
      </c>
      <c r="K19" t="s">
        <v>38</v>
      </c>
      <c r="M19" t="s">
        <v>39</v>
      </c>
      <c r="O19" t="s">
        <v>40</v>
      </c>
    </row>
    <row r="24" spans="2:11" x14ac:dyDescent="0.25">
      <c r="B24" s="11" t="s">
        <v>41</v>
      </c>
      <c r="F24" s="11" t="s">
        <v>42</v>
      </c>
      <c r="I24" s="11" t="s">
        <v>43</v>
      </c>
      <c r="K24" s="11" t="s">
        <v>43</v>
      </c>
    </row>
  </sheetData>
  <mergeCells count="15">
    <mergeCell ref="B1:O1"/>
    <mergeCell ref="B2:O2"/>
    <mergeCell ref="C8:E9"/>
    <mergeCell ref="F8:J8"/>
    <mergeCell ref="L8:N8"/>
    <mergeCell ref="B8:B9"/>
    <mergeCell ref="K8:K9"/>
    <mergeCell ref="O8:O9"/>
    <mergeCell ref="C10:E10"/>
    <mergeCell ref="C11:E11"/>
    <mergeCell ref="C12:E12"/>
    <mergeCell ref="C13:E13"/>
    <mergeCell ref="C14:E14"/>
    <mergeCell ref="B15:I15"/>
    <mergeCell ref="M18:O18"/>
  </mergeCells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dan 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2026-07-21T10:42:45Z</dcterms:created>
  <dcterms:modified xsi:type="dcterms:W3CDTF">2026-07-21T10:42:45Z</dcterms:modified>
</cp:coreProperties>
</file>