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100" documentId="11_74FE2324F0D79365B55CB9526A595B89EC4AACA2" xr6:coauthVersionLast="47" xr6:coauthVersionMax="47" xr10:uidLastSave="{B7683BDE-00E5-4504-A430-B0781931805E}"/>
  <bookViews>
    <workbookView xWindow="0" yWindow="0" windowWidth="16384" windowHeight="8192" tabRatio="500" xr2:uid="{00000000-000D-0000-FFFF-FFFF00000000}"/>
  </bookViews>
  <sheets>
    <sheet name="Pengajuan dan Laporan" sheetId="1" r:id="rId1"/>
  </sheets>
  <definedNames>
    <definedName name="_xlnm.Print_Area" localSheetId="0">'Pengajuan dan Laporan'!$A$1:$O$39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2" i="1" l="1"/>
  <c r="O12" i="1"/>
  <c r="X29" i="1"/>
  <c r="M29" i="1"/>
  <c r="I29" i="1"/>
  <c r="M28" i="1"/>
  <c r="I28" i="1"/>
  <c r="O28" i="1" s="1"/>
  <c r="M27" i="1"/>
  <c r="I27" i="1"/>
  <c r="O27" i="1" s="1"/>
  <c r="M26" i="1"/>
  <c r="I26" i="1"/>
  <c r="O26" i="1" s="1"/>
  <c r="M25" i="1"/>
  <c r="I25" i="1"/>
  <c r="O25" i="1" s="1"/>
  <c r="M24" i="1"/>
  <c r="I24" i="1"/>
  <c r="O24" i="1" s="1"/>
  <c r="M23" i="1"/>
  <c r="I23" i="1"/>
  <c r="O23" i="1" s="1"/>
  <c r="M22" i="1"/>
  <c r="I22" i="1"/>
  <c r="O22" i="1" s="1"/>
  <c r="M21" i="1"/>
  <c r="I21" i="1"/>
  <c r="O21" i="1" s="1"/>
  <c r="M20" i="1"/>
  <c r="I20" i="1"/>
  <c r="O20" i="1" s="1"/>
  <c r="M19" i="1"/>
  <c r="I19" i="1"/>
  <c r="O19" i="1" s="1"/>
  <c r="M18" i="1"/>
  <c r="I18" i="1"/>
  <c r="O18" i="1" s="1"/>
  <c r="M17" i="1"/>
  <c r="I17" i="1"/>
  <c r="O17" i="1" s="1"/>
  <c r="M16" i="1"/>
  <c r="I16" i="1"/>
  <c r="O16" i="1" s="1"/>
  <c r="M15" i="1"/>
  <c r="I15" i="1"/>
  <c r="O15" i="1" s="1"/>
  <c r="M14" i="1"/>
  <c r="I14" i="1"/>
  <c r="O14" i="1" s="1"/>
  <c r="M13" i="1"/>
  <c r="I13" i="1"/>
  <c r="O13" i="1" s="1"/>
  <c r="M10" i="1"/>
  <c r="I10" i="1"/>
  <c r="I30" i="1" l="1"/>
  <c r="O29" i="1"/>
  <c r="O30" i="1" l="1"/>
</calcChain>
</file>

<file path=xl/sharedStrings.xml><?xml version="1.0" encoding="utf-8"?>
<sst xmlns="http://schemas.openxmlformats.org/spreadsheetml/2006/main" count="51" uniqueCount="39">
  <si>
    <t>PESANTREN AL-ANDALUS ULUL-ALBAAB</t>
  </si>
  <si>
    <t>PENGAJUAN DANA &amp; LAPORAN REALISASI</t>
  </si>
  <si>
    <t>Tanggal</t>
  </si>
  <si>
    <t>:</t>
  </si>
  <si>
    <t>No.</t>
  </si>
  <si>
    <t>Nama Pemohon</t>
  </si>
  <si>
    <t>Rieza Eka Tomara</t>
  </si>
  <si>
    <t>Unit/Bidang</t>
  </si>
  <si>
    <t>IT</t>
  </si>
  <si>
    <t>Tujuan Pemakaian Dana</t>
  </si>
  <si>
    <t>Biaya Maintenance &amp; Migrasi Dokumen Pendaftaran Santri (Server Lama)</t>
  </si>
  <si>
    <t>Uraian</t>
  </si>
  <si>
    <t>Permohonan</t>
  </si>
  <si>
    <t>Sumber Dana</t>
  </si>
  <si>
    <t>Realisasi</t>
  </si>
  <si>
    <t>Keterangan
(Sisa Belanja)</t>
  </si>
  <si>
    <t>Qty</t>
  </si>
  <si>
    <t>Ket.</t>
  </si>
  <si>
    <t>Harga Satuan (Rp)</t>
  </si>
  <si>
    <t>Total Harga</t>
  </si>
  <si>
    <t>Total Harga (Rp)</t>
  </si>
  <si>
    <t>Perpanjangan Cloud Server Virtual Machine (VM) idCloudHost</t>
  </si>
  <si>
    <t>bulan</t>
  </si>
  <si>
    <t>-</t>
  </si>
  <si>
    <t>untuk Penyelamatan &amp; Pemindahan Dokumen Santri</t>
  </si>
  <si>
    <t>Pembayaran transfer ke BSI norek : 7341759581</t>
  </si>
  <si>
    <t>a.n Rieza Eka Tomara</t>
  </si>
  <si>
    <t>Total Pengajuan</t>
  </si>
  <si>
    <t>Total Sisa Pembelanjaan</t>
  </si>
  <si>
    <t>Menyetujui,</t>
  </si>
  <si>
    <t>Mengetahui,</t>
  </si>
  <si>
    <t>Laporan</t>
  </si>
  <si>
    <t>Mudir Pesantren</t>
  </si>
  <si>
    <t>Kepala Seksi IT</t>
  </si>
  <si>
    <t>Pemohon</t>
  </si>
  <si>
    <t>Penerima Dana</t>
  </si>
  <si>
    <t>Diperiksa,</t>
  </si>
  <si>
    <t>Diterima,</t>
  </si>
  <si>
    <t>Ust. Wahab Rajasam, M.Pd.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</si>
</sst>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\-??_-;_-@_-"/>
    <numFmt numFmtId="165" formatCode="_(* #,##0_);_(* \(#,##0\);_(* \-??_);_(@_)"/>
  </numFmts>
  <fonts count="5">
    <font>
      <sz val="11"/>
      <color theme="1"/>
      <name val="Calibri"/>
      <charset val="134"/>
    </font>
    <font>
      <sz val="12"/>
      <color theme="1"/>
      <name val="Calibri Light"/>
      <charset val="134"/>
    </font>
    <font>
      <b/>
      <sz val="18"/>
      <color theme="1"/>
      <name val="Aptos Display"/>
      <charset val="134"/>
    </font>
    <font>
      <b/>
      <sz val="12"/>
      <color theme="1"/>
      <name val="Calibri Light"/>
      <charset val="134"/>
    </font>
    <font>
      <sz val="12"/>
      <color rgb="FF000000"/>
      <name val="Calibri Light"/>
      <charset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vertical="center"/>
    </xf>
    <xf numFmtId="165" fontId="1" fillId="0" borderId="9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65" fontId="1" fillId="0" borderId="7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165" fontId="1" fillId="0" borderId="0" xfId="0" applyNumberFormat="1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4" fontId="3" fillId="0" borderId="7" xfId="0" applyNumberFormat="1" applyFont="1" applyBorder="1" applyAlignment="1">
      <alignment vertical="center"/>
    </xf>
    <xf numFmtId="164" fontId="3" fillId="0" borderId="8" xfId="0" applyNumberFormat="1" applyFont="1" applyBorder="1" applyAlignment="1">
      <alignment vertical="center"/>
    </xf>
    <xf numFmtId="164" fontId="3" fillId="0" borderId="4" xfId="0" applyNumberFormat="1" applyFont="1" applyBorder="1" applyAlignme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3" xfId="0" applyFont="1" applyBorder="1" applyAlignment="1"/>
    <xf numFmtId="0" fontId="3" fillId="0" borderId="14" xfId="0" applyFont="1" applyBorder="1" applyAlignment="1">
      <alignment horizontal="center"/>
    </xf>
    <xf numFmtId="164" fontId="1" fillId="0" borderId="8" xfId="0" applyNumberFormat="1" applyFont="1" applyBorder="1" applyAlignment="1">
      <alignment horizontal="right" vertical="center"/>
    </xf>
    <xf numFmtId="0" fontId="3" fillId="0" borderId="1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5" fontId="1" fillId="0" borderId="0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164" fontId="1" fillId="0" borderId="7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right" vertical="center"/>
    </xf>
    <xf numFmtId="164" fontId="1" fillId="0" borderId="11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horizontal="left" vertical="center" wrapText="1"/>
    </xf>
    <xf numFmtId="164" fontId="1" fillId="0" borderId="9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right" vertical="center"/>
    </xf>
    <xf numFmtId="164" fontId="3" fillId="0" borderId="7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3</xdr:col>
      <xdr:colOff>225720</xdr:colOff>
      <xdr:row>2</xdr:row>
      <xdr:rowOff>60120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52080" y="0"/>
          <a:ext cx="320400" cy="688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"/>
  <sheetViews>
    <sheetView tabSelected="1" zoomScaleNormal="100" workbookViewId="0">
      <selection activeCell="B4" sqref="B4"/>
    </sheetView>
  </sheetViews>
  <sheetFormatPr defaultColWidth="9" defaultRowHeight="15"/>
  <cols>
    <col min="1" max="1" width="3.625" style="1" customWidth="1"/>
    <col min="2" max="2" width="26.875" style="1" customWidth="1"/>
    <col min="3" max="3" width="1.375" style="1" customWidth="1"/>
    <col min="4" max="4" width="24.75" style="1" customWidth="1"/>
    <col min="5" max="5" width="4.75" style="1" customWidth="1"/>
    <col min="6" max="6" width="6.75" style="1" customWidth="1"/>
    <col min="7" max="7" width="1.5" style="1" customWidth="1"/>
    <col min="8" max="8" width="17.25" style="1" customWidth="1"/>
    <col min="9" max="9" width="16.25" style="1" customWidth="1"/>
    <col min="10" max="10" width="11.25" style="1" customWidth="1"/>
    <col min="11" max="11" width="4.25" style="1" customWidth="1"/>
    <col min="12" max="12" width="14.375" style="1" customWidth="1"/>
    <col min="13" max="13" width="1.375" style="1" customWidth="1"/>
    <col min="14" max="14" width="16" style="1" customWidth="1"/>
    <col min="15" max="15" width="21.625" style="1" customWidth="1"/>
    <col min="16" max="16" width="4" style="1" customWidth="1"/>
    <col min="17" max="17" width="3.625" style="1" customWidth="1"/>
    <col min="18" max="18" width="13.375" style="1" customWidth="1"/>
    <col min="19" max="19" width="13.75" style="2" customWidth="1"/>
    <col min="20" max="20" width="6.375" style="3" customWidth="1"/>
    <col min="21" max="21" width="13.75" style="1" customWidth="1"/>
    <col min="22" max="22" width="7.25" style="1" customWidth="1"/>
    <col min="23" max="23" width="3.625" style="1" customWidth="1"/>
    <col min="24" max="24" width="13.75" style="1" customWidth="1"/>
    <col min="25" max="25" width="9.875" style="1" customWidth="1"/>
    <col min="26" max="16384" width="9" style="1"/>
  </cols>
  <sheetData>
    <row r="1" spans="1:24" ht="24.75" customHeight="1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24" ht="24.75" customHeight="1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24" ht="15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24" ht="15" customHeight="1">
      <c r="A4" s="7"/>
      <c r="O4" s="8"/>
    </row>
    <row r="5" spans="1:24" s="10" customFormat="1" ht="19.5" customHeight="1">
      <c r="A5" s="9" t="s">
        <v>2</v>
      </c>
      <c r="C5" s="10" t="s">
        <v>3</v>
      </c>
      <c r="D5" s="45">
        <v>46134</v>
      </c>
      <c r="E5" s="45"/>
      <c r="F5" s="45"/>
      <c r="G5" s="45"/>
      <c r="H5" s="45"/>
      <c r="I5" s="45"/>
      <c r="L5" s="11" t="s">
        <v>4</v>
      </c>
      <c r="M5" s="12" t="s">
        <v>3</v>
      </c>
      <c r="N5" s="46"/>
      <c r="O5" s="46"/>
      <c r="S5" s="13"/>
      <c r="T5" s="12"/>
    </row>
    <row r="6" spans="1:24" s="10" customFormat="1" ht="19.5" customHeight="1">
      <c r="A6" s="9" t="s">
        <v>5</v>
      </c>
      <c r="C6" s="10" t="s">
        <v>3</v>
      </c>
      <c r="D6" s="47" t="s">
        <v>6</v>
      </c>
      <c r="E6" s="47"/>
      <c r="F6" s="47"/>
      <c r="G6" s="47"/>
      <c r="H6" s="47"/>
      <c r="I6" s="47"/>
      <c r="L6" s="11" t="s">
        <v>7</v>
      </c>
      <c r="M6" s="14" t="s">
        <v>3</v>
      </c>
      <c r="N6" s="48" t="s">
        <v>8</v>
      </c>
      <c r="O6" s="48"/>
      <c r="S6" s="13"/>
      <c r="T6" s="12"/>
    </row>
    <row r="7" spans="1:24" s="10" customFormat="1" ht="19.5" customHeight="1">
      <c r="A7" s="9" t="s">
        <v>9</v>
      </c>
      <c r="C7" s="10" t="s">
        <v>3</v>
      </c>
      <c r="D7" s="49" t="s">
        <v>10</v>
      </c>
      <c r="E7" s="49"/>
      <c r="F7" s="49"/>
      <c r="G7" s="49"/>
      <c r="H7" s="49"/>
      <c r="I7" s="49"/>
      <c r="O7" s="15"/>
      <c r="S7" s="13"/>
      <c r="T7" s="12"/>
    </row>
    <row r="8" spans="1:24" ht="15" customHeight="1">
      <c r="A8" s="50" t="s">
        <v>4</v>
      </c>
      <c r="B8" s="51" t="s">
        <v>11</v>
      </c>
      <c r="C8" s="51"/>
      <c r="D8" s="51"/>
      <c r="E8" s="51" t="s">
        <v>12</v>
      </c>
      <c r="F8" s="51"/>
      <c r="G8" s="51"/>
      <c r="H8" s="51"/>
      <c r="I8" s="51"/>
      <c r="J8" s="52" t="s">
        <v>13</v>
      </c>
      <c r="K8" s="51" t="s">
        <v>14</v>
      </c>
      <c r="L8" s="51"/>
      <c r="M8" s="51"/>
      <c r="N8" s="51"/>
      <c r="O8" s="53" t="s">
        <v>15</v>
      </c>
      <c r="S8" s="1"/>
    </row>
    <row r="9" spans="1:24" ht="61.5" customHeight="1">
      <c r="A9" s="50"/>
      <c r="B9" s="51"/>
      <c r="C9" s="51"/>
      <c r="D9" s="51"/>
      <c r="E9" s="41" t="s">
        <v>16</v>
      </c>
      <c r="F9" s="41" t="s">
        <v>17</v>
      </c>
      <c r="G9" s="41"/>
      <c r="H9" s="42" t="s">
        <v>18</v>
      </c>
      <c r="I9" s="41" t="s">
        <v>19</v>
      </c>
      <c r="J9" s="52"/>
      <c r="K9" s="41" t="s">
        <v>16</v>
      </c>
      <c r="L9" s="42" t="s">
        <v>18</v>
      </c>
      <c r="M9" s="52" t="s">
        <v>20</v>
      </c>
      <c r="N9" s="52"/>
      <c r="O9" s="53"/>
      <c r="S9" s="1"/>
      <c r="T9" s="1"/>
    </row>
    <row r="10" spans="1:24" s="10" customFormat="1" ht="15" customHeight="1">
      <c r="A10" s="16">
        <v>1</v>
      </c>
      <c r="B10" s="54" t="s">
        <v>21</v>
      </c>
      <c r="C10" s="54"/>
      <c r="D10" s="54"/>
      <c r="E10" s="17">
        <v>1</v>
      </c>
      <c r="F10" s="17" t="s">
        <v>22</v>
      </c>
      <c r="G10" s="17"/>
      <c r="H10" s="18">
        <v>150000</v>
      </c>
      <c r="I10" s="18">
        <f>H10*E10</f>
        <v>150000</v>
      </c>
      <c r="J10" s="18"/>
      <c r="K10" s="17"/>
      <c r="L10" s="19"/>
      <c r="M10" s="55">
        <f>K10*L10</f>
        <v>0</v>
      </c>
      <c r="N10" s="55"/>
      <c r="O10" s="38" t="s">
        <v>23</v>
      </c>
      <c r="Q10" s="56"/>
      <c r="R10" s="56"/>
      <c r="S10" s="56"/>
      <c r="T10" s="56"/>
      <c r="U10" s="56"/>
      <c r="V10" s="56"/>
      <c r="W10" s="56"/>
      <c r="X10" s="56"/>
    </row>
    <row r="11" spans="1:24" s="10" customFormat="1" ht="15" customHeight="1">
      <c r="A11" s="16">
        <v>2</v>
      </c>
      <c r="B11" s="70" t="s">
        <v>24</v>
      </c>
      <c r="C11" s="54"/>
      <c r="D11" s="54"/>
      <c r="E11" s="17"/>
      <c r="F11" s="17"/>
      <c r="G11" s="17"/>
      <c r="H11" s="18"/>
      <c r="I11" s="18"/>
      <c r="J11" s="18"/>
      <c r="K11" s="17"/>
      <c r="L11" s="19"/>
      <c r="M11" s="57" t="s">
        <v>23</v>
      </c>
      <c r="N11" s="58"/>
      <c r="O11" s="38" t="s">
        <v>23</v>
      </c>
      <c r="Q11" s="21"/>
      <c r="R11" s="21"/>
      <c r="S11" s="18"/>
      <c r="T11" s="17"/>
      <c r="U11" s="22"/>
      <c r="V11" s="21"/>
      <c r="W11" s="21"/>
      <c r="X11" s="22"/>
    </row>
    <row r="12" spans="1:24" s="10" customFormat="1" ht="15" customHeight="1">
      <c r="A12" s="16">
        <v>2</v>
      </c>
      <c r="B12" s="59"/>
      <c r="C12" s="59"/>
      <c r="D12" s="59"/>
      <c r="E12" s="17"/>
      <c r="F12" s="17"/>
      <c r="G12" s="17"/>
      <c r="H12" s="18"/>
      <c r="I12" s="18"/>
      <c r="J12" s="18"/>
      <c r="K12" s="17"/>
      <c r="L12" s="19"/>
      <c r="M12" s="60">
        <f>K12*L12</f>
        <v>0</v>
      </c>
      <c r="N12" s="61"/>
      <c r="O12" s="20">
        <f>I12-M12</f>
        <v>0</v>
      </c>
      <c r="Q12" s="21">
        <v>3</v>
      </c>
      <c r="R12" s="21"/>
      <c r="S12" s="18"/>
      <c r="T12" s="17"/>
      <c r="U12" s="22"/>
      <c r="V12" s="21"/>
      <c r="W12" s="21"/>
      <c r="X12" s="22"/>
    </row>
    <row r="13" spans="1:24" s="10" customFormat="1" ht="15" customHeight="1">
      <c r="A13" s="16">
        <v>3</v>
      </c>
      <c r="B13" s="62"/>
      <c r="C13" s="62"/>
      <c r="D13" s="62"/>
      <c r="E13" s="17"/>
      <c r="F13" s="17"/>
      <c r="G13" s="17"/>
      <c r="H13" s="18"/>
      <c r="I13" s="18">
        <f>H13*E13</f>
        <v>0</v>
      </c>
      <c r="J13" s="18"/>
      <c r="K13" s="17"/>
      <c r="L13" s="19"/>
      <c r="M13" s="55">
        <f>K13*L13</f>
        <v>0</v>
      </c>
      <c r="N13" s="55"/>
      <c r="O13" s="20">
        <f>I13-M13</f>
        <v>0</v>
      </c>
      <c r="Q13" s="21">
        <v>4</v>
      </c>
      <c r="R13" s="21"/>
      <c r="S13" s="18"/>
      <c r="T13" s="17"/>
      <c r="U13" s="22"/>
      <c r="V13" s="21"/>
      <c r="W13" s="21"/>
      <c r="X13" s="22"/>
    </row>
    <row r="14" spans="1:24" s="10" customFormat="1" ht="15" customHeight="1">
      <c r="A14" s="16">
        <v>4</v>
      </c>
      <c r="B14" s="62"/>
      <c r="C14" s="62"/>
      <c r="D14" s="62"/>
      <c r="E14" s="17"/>
      <c r="F14" s="17"/>
      <c r="G14" s="17"/>
      <c r="H14" s="18"/>
      <c r="I14" s="18">
        <f>H14*E14</f>
        <v>0</v>
      </c>
      <c r="J14" s="18"/>
      <c r="K14" s="17"/>
      <c r="L14" s="19"/>
      <c r="M14" s="55">
        <f>K14*L14</f>
        <v>0</v>
      </c>
      <c r="N14" s="55"/>
      <c r="O14" s="20">
        <f>I14-M14</f>
        <v>0</v>
      </c>
      <c r="Q14" s="21">
        <v>5</v>
      </c>
      <c r="R14" s="21"/>
      <c r="S14" s="18"/>
      <c r="T14" s="17"/>
      <c r="U14" s="22"/>
      <c r="V14" s="21"/>
      <c r="W14" s="21"/>
      <c r="X14" s="22"/>
    </row>
    <row r="15" spans="1:24" s="10" customFormat="1" ht="15" customHeight="1">
      <c r="A15" s="16">
        <v>5</v>
      </c>
      <c r="B15" s="54"/>
      <c r="C15" s="54"/>
      <c r="D15" s="54"/>
      <c r="E15" s="17"/>
      <c r="F15" s="17"/>
      <c r="G15" s="17"/>
      <c r="H15" s="18"/>
      <c r="I15" s="18">
        <f>H15*E15</f>
        <v>0</v>
      </c>
      <c r="J15" s="18"/>
      <c r="K15" s="17"/>
      <c r="L15" s="19"/>
      <c r="M15" s="55">
        <f>K15*L15</f>
        <v>0</v>
      </c>
      <c r="N15" s="55"/>
      <c r="O15" s="20">
        <f>I15-M15</f>
        <v>0</v>
      </c>
      <c r="Q15" s="21">
        <v>6</v>
      </c>
      <c r="R15" s="21"/>
      <c r="S15" s="18"/>
      <c r="T15" s="17"/>
      <c r="U15" s="22"/>
      <c r="V15" s="21"/>
      <c r="W15" s="21"/>
      <c r="X15" s="22"/>
    </row>
    <row r="16" spans="1:24" s="10" customFormat="1" ht="15" customHeight="1">
      <c r="A16" s="16">
        <v>6</v>
      </c>
      <c r="B16" s="54" t="s">
        <v>25</v>
      </c>
      <c r="C16" s="54"/>
      <c r="D16" s="54"/>
      <c r="E16" s="17"/>
      <c r="F16" s="17"/>
      <c r="G16" s="17"/>
      <c r="H16" s="18"/>
      <c r="I16" s="18">
        <f>H16*E16</f>
        <v>0</v>
      </c>
      <c r="J16" s="18"/>
      <c r="K16" s="17"/>
      <c r="L16" s="19"/>
      <c r="M16" s="55">
        <f>K16*L16</f>
        <v>0</v>
      </c>
      <c r="N16" s="55"/>
      <c r="O16" s="20">
        <f>I16-M16</f>
        <v>0</v>
      </c>
      <c r="Q16" s="21">
        <v>7</v>
      </c>
      <c r="R16" s="21"/>
      <c r="S16" s="18"/>
      <c r="T16" s="17"/>
      <c r="U16" s="22"/>
      <c r="V16" s="21"/>
      <c r="W16" s="21"/>
      <c r="X16" s="22"/>
    </row>
    <row r="17" spans="1:24" s="10" customFormat="1" ht="15" customHeight="1">
      <c r="A17" s="16">
        <v>7</v>
      </c>
      <c r="B17" s="23" t="s">
        <v>26</v>
      </c>
      <c r="C17" s="24"/>
      <c r="D17" s="25"/>
      <c r="E17" s="17"/>
      <c r="F17" s="17"/>
      <c r="G17" s="17"/>
      <c r="H17" s="18"/>
      <c r="I17" s="18">
        <f>H17*E17</f>
        <v>0</v>
      </c>
      <c r="J17" s="18"/>
      <c r="K17" s="17"/>
      <c r="L17" s="19"/>
      <c r="M17" s="55">
        <f>K17*L17</f>
        <v>0</v>
      </c>
      <c r="N17" s="55"/>
      <c r="O17" s="20">
        <f>I17-M17</f>
        <v>0</v>
      </c>
      <c r="Q17" s="21">
        <v>8</v>
      </c>
      <c r="R17" s="21"/>
      <c r="S17" s="18"/>
      <c r="T17" s="17"/>
      <c r="U17" s="22"/>
      <c r="V17" s="21"/>
      <c r="W17" s="21"/>
      <c r="X17" s="22"/>
    </row>
    <row r="18" spans="1:24" s="10" customFormat="1" ht="15" customHeight="1">
      <c r="A18" s="16">
        <v>8</v>
      </c>
      <c r="B18" s="23"/>
      <c r="C18" s="24"/>
      <c r="D18" s="25"/>
      <c r="E18" s="17"/>
      <c r="F18" s="17"/>
      <c r="G18" s="17"/>
      <c r="H18" s="18"/>
      <c r="I18" s="18">
        <f>H18*E18</f>
        <v>0</v>
      </c>
      <c r="J18" s="18"/>
      <c r="K18" s="17"/>
      <c r="L18" s="19"/>
      <c r="M18" s="55">
        <f>K18*L18</f>
        <v>0</v>
      </c>
      <c r="N18" s="55"/>
      <c r="O18" s="20">
        <f>I18-M18</f>
        <v>0</v>
      </c>
      <c r="Q18" s="21">
        <v>9</v>
      </c>
      <c r="R18" s="21"/>
      <c r="S18" s="18"/>
      <c r="T18" s="17"/>
      <c r="U18" s="22"/>
      <c r="V18" s="21"/>
      <c r="W18" s="21"/>
      <c r="X18" s="22"/>
    </row>
    <row r="19" spans="1:24" s="10" customFormat="1" ht="15" customHeight="1">
      <c r="A19" s="16">
        <v>9</v>
      </c>
      <c r="B19" s="23"/>
      <c r="C19" s="24"/>
      <c r="D19" s="25"/>
      <c r="E19" s="17"/>
      <c r="F19" s="17"/>
      <c r="G19" s="17"/>
      <c r="H19" s="18"/>
      <c r="I19" s="18">
        <f>H19*E19</f>
        <v>0</v>
      </c>
      <c r="J19" s="18"/>
      <c r="K19" s="17"/>
      <c r="L19" s="19"/>
      <c r="M19" s="55">
        <f>K19*L19</f>
        <v>0</v>
      </c>
      <c r="N19" s="55"/>
      <c r="O19" s="20">
        <f>I19-M19</f>
        <v>0</v>
      </c>
      <c r="Q19" s="21">
        <v>10</v>
      </c>
      <c r="R19" s="21"/>
      <c r="S19" s="18"/>
      <c r="T19" s="17"/>
      <c r="U19" s="22"/>
      <c r="V19" s="21"/>
      <c r="W19" s="21"/>
      <c r="X19" s="22"/>
    </row>
    <row r="20" spans="1:24" s="10" customFormat="1" ht="15" customHeight="1">
      <c r="A20" s="16">
        <v>10</v>
      </c>
      <c r="B20" s="54"/>
      <c r="C20" s="54"/>
      <c r="D20" s="54"/>
      <c r="E20" s="17"/>
      <c r="F20" s="17"/>
      <c r="G20" s="17"/>
      <c r="H20" s="18"/>
      <c r="I20" s="18">
        <f>H20*E20</f>
        <v>0</v>
      </c>
      <c r="J20" s="18"/>
      <c r="K20" s="17"/>
      <c r="L20" s="19"/>
      <c r="M20" s="55">
        <f>K20*L20</f>
        <v>0</v>
      </c>
      <c r="N20" s="55"/>
      <c r="O20" s="20">
        <f>I20-M20</f>
        <v>0</v>
      </c>
      <c r="Q20" s="21">
        <v>11</v>
      </c>
      <c r="R20" s="21"/>
      <c r="S20" s="18"/>
      <c r="T20" s="17"/>
      <c r="U20" s="22"/>
      <c r="V20" s="21"/>
      <c r="W20" s="21"/>
      <c r="X20" s="22"/>
    </row>
    <row r="21" spans="1:24" s="10" customFormat="1" ht="15" customHeight="1">
      <c r="A21" s="16">
        <v>11</v>
      </c>
      <c r="B21" s="54"/>
      <c r="C21" s="54"/>
      <c r="D21" s="54"/>
      <c r="E21" s="17"/>
      <c r="F21" s="17"/>
      <c r="G21" s="17"/>
      <c r="H21" s="18"/>
      <c r="I21" s="18">
        <f>H21*E21</f>
        <v>0</v>
      </c>
      <c r="J21" s="18"/>
      <c r="K21" s="17"/>
      <c r="L21" s="19"/>
      <c r="M21" s="55">
        <f>K21*L21</f>
        <v>0</v>
      </c>
      <c r="N21" s="55"/>
      <c r="O21" s="20">
        <f>I21-M21</f>
        <v>0</v>
      </c>
      <c r="Q21" s="21">
        <v>12</v>
      </c>
      <c r="R21" s="21"/>
      <c r="S21" s="18"/>
      <c r="T21" s="17"/>
      <c r="U21" s="22"/>
      <c r="V21" s="21"/>
      <c r="W21" s="21"/>
      <c r="X21" s="22"/>
    </row>
    <row r="22" spans="1:24" s="10" customFormat="1" ht="15" customHeight="1">
      <c r="A22" s="16">
        <v>12</v>
      </c>
      <c r="B22" s="54"/>
      <c r="C22" s="54"/>
      <c r="D22" s="54"/>
      <c r="E22" s="17"/>
      <c r="F22" s="17"/>
      <c r="G22" s="17"/>
      <c r="H22" s="18"/>
      <c r="I22" s="18">
        <f>H22*E22</f>
        <v>0</v>
      </c>
      <c r="J22" s="18"/>
      <c r="K22" s="17"/>
      <c r="L22" s="19"/>
      <c r="M22" s="55">
        <f>K22*L22</f>
        <v>0</v>
      </c>
      <c r="N22" s="55"/>
      <c r="O22" s="20">
        <f>I22-M22</f>
        <v>0</v>
      </c>
      <c r="Q22" s="21">
        <v>13</v>
      </c>
      <c r="R22" s="21"/>
      <c r="S22" s="18"/>
      <c r="T22" s="17"/>
      <c r="U22" s="22"/>
      <c r="V22" s="21"/>
      <c r="W22" s="21"/>
      <c r="X22" s="22"/>
    </row>
    <row r="23" spans="1:24" s="10" customFormat="1" ht="15" customHeight="1">
      <c r="A23" s="16">
        <v>13</v>
      </c>
      <c r="B23" s="54"/>
      <c r="C23" s="54"/>
      <c r="D23" s="54"/>
      <c r="E23" s="17"/>
      <c r="F23" s="17"/>
      <c r="G23" s="17"/>
      <c r="H23" s="18"/>
      <c r="I23" s="18">
        <f>H23*E23</f>
        <v>0</v>
      </c>
      <c r="J23" s="18"/>
      <c r="K23" s="17"/>
      <c r="L23" s="19"/>
      <c r="M23" s="55">
        <f>K23*L23</f>
        <v>0</v>
      </c>
      <c r="N23" s="55"/>
      <c r="O23" s="20">
        <f>I23-M23</f>
        <v>0</v>
      </c>
      <c r="Q23" s="21">
        <v>14</v>
      </c>
      <c r="R23" s="21"/>
      <c r="S23" s="18"/>
      <c r="T23" s="17"/>
      <c r="U23" s="22"/>
      <c r="V23" s="21"/>
      <c r="W23" s="21"/>
      <c r="X23" s="22"/>
    </row>
    <row r="24" spans="1:24" s="10" customFormat="1" ht="15" customHeight="1">
      <c r="A24" s="16">
        <v>14</v>
      </c>
      <c r="B24" s="23"/>
      <c r="C24" s="24"/>
      <c r="D24" s="25"/>
      <c r="E24" s="17"/>
      <c r="F24" s="17"/>
      <c r="G24" s="17"/>
      <c r="H24" s="18"/>
      <c r="I24" s="18">
        <f>H24*E24</f>
        <v>0</v>
      </c>
      <c r="J24" s="18"/>
      <c r="K24" s="17"/>
      <c r="L24" s="19"/>
      <c r="M24" s="55">
        <f>K24*L24</f>
        <v>0</v>
      </c>
      <c r="N24" s="55"/>
      <c r="O24" s="20">
        <f>I24-M24</f>
        <v>0</v>
      </c>
      <c r="S24" s="13"/>
      <c r="T24" s="12"/>
      <c r="U24" s="26"/>
      <c r="X24" s="26"/>
    </row>
    <row r="25" spans="1:24" s="10" customFormat="1" ht="15" customHeight="1">
      <c r="A25" s="16">
        <v>15</v>
      </c>
      <c r="B25" s="23"/>
      <c r="C25" s="24"/>
      <c r="D25" s="25"/>
      <c r="E25" s="17"/>
      <c r="F25" s="17"/>
      <c r="G25" s="17"/>
      <c r="H25" s="18"/>
      <c r="I25" s="18">
        <f>H25*E25</f>
        <v>0</v>
      </c>
      <c r="J25" s="18"/>
      <c r="K25" s="17"/>
      <c r="L25" s="19"/>
      <c r="M25" s="55">
        <f>K25*L25</f>
        <v>0</v>
      </c>
      <c r="N25" s="55"/>
      <c r="O25" s="20">
        <f>I25-M25</f>
        <v>0</v>
      </c>
      <c r="S25" s="13"/>
      <c r="T25" s="12"/>
      <c r="U25" s="26"/>
      <c r="X25" s="26"/>
    </row>
    <row r="26" spans="1:24" s="10" customFormat="1" ht="15" customHeight="1">
      <c r="A26" s="16">
        <v>16</v>
      </c>
      <c r="B26" s="23"/>
      <c r="C26" s="24"/>
      <c r="D26" s="25"/>
      <c r="E26" s="17"/>
      <c r="F26" s="17"/>
      <c r="G26" s="17"/>
      <c r="H26" s="18"/>
      <c r="I26" s="18">
        <f>H26*E26</f>
        <v>0</v>
      </c>
      <c r="J26" s="18"/>
      <c r="K26" s="17"/>
      <c r="L26" s="19"/>
      <c r="M26" s="55">
        <f>K26*L26</f>
        <v>0</v>
      </c>
      <c r="N26" s="55"/>
      <c r="O26" s="20">
        <f>I26-M26</f>
        <v>0</v>
      </c>
      <c r="S26" s="13"/>
      <c r="T26" s="12"/>
      <c r="U26" s="26"/>
      <c r="X26" s="26"/>
    </row>
    <row r="27" spans="1:24" s="10" customFormat="1" ht="15" customHeight="1">
      <c r="A27" s="16">
        <v>17</v>
      </c>
      <c r="B27" s="23"/>
      <c r="C27" s="24"/>
      <c r="D27" s="25"/>
      <c r="E27" s="17"/>
      <c r="F27" s="17"/>
      <c r="G27" s="17"/>
      <c r="H27" s="18"/>
      <c r="I27" s="18">
        <f>H27*E27</f>
        <v>0</v>
      </c>
      <c r="J27" s="18"/>
      <c r="K27" s="17"/>
      <c r="L27" s="19"/>
      <c r="M27" s="55">
        <f>K27*L27</f>
        <v>0</v>
      </c>
      <c r="N27" s="55"/>
      <c r="O27" s="20">
        <f>I27-M27</f>
        <v>0</v>
      </c>
      <c r="S27" s="13"/>
      <c r="T27" s="12"/>
      <c r="U27" s="26"/>
      <c r="X27" s="26"/>
    </row>
    <row r="28" spans="1:24" s="10" customFormat="1" ht="15" customHeight="1">
      <c r="A28" s="16">
        <v>18</v>
      </c>
      <c r="B28" s="23"/>
      <c r="C28" s="24"/>
      <c r="D28" s="25"/>
      <c r="E28" s="17"/>
      <c r="F28" s="17"/>
      <c r="G28" s="17"/>
      <c r="H28" s="18"/>
      <c r="I28" s="18">
        <f>H28*E28</f>
        <v>0</v>
      </c>
      <c r="J28" s="18"/>
      <c r="K28" s="17"/>
      <c r="L28" s="19"/>
      <c r="M28" s="55">
        <f>K28*L28</f>
        <v>0</v>
      </c>
      <c r="N28" s="55"/>
      <c r="O28" s="20">
        <f>I28-M28</f>
        <v>0</v>
      </c>
      <c r="S28" s="13"/>
      <c r="T28" s="12"/>
      <c r="U28" s="26"/>
      <c r="X28" s="26"/>
    </row>
    <row r="29" spans="1:24" s="10" customFormat="1" ht="15" customHeight="1">
      <c r="A29" s="16"/>
      <c r="B29" s="54"/>
      <c r="C29" s="54"/>
      <c r="D29" s="54"/>
      <c r="E29" s="17"/>
      <c r="F29" s="17"/>
      <c r="G29" s="17"/>
      <c r="H29" s="18"/>
      <c r="I29" s="18">
        <f>H29*E29</f>
        <v>0</v>
      </c>
      <c r="J29" s="18"/>
      <c r="K29" s="17"/>
      <c r="L29" s="27"/>
      <c r="M29" s="55">
        <f>K29*L29</f>
        <v>0</v>
      </c>
      <c r="N29" s="55"/>
      <c r="O29" s="20">
        <f>M29-I29</f>
        <v>0</v>
      </c>
      <c r="S29" s="13"/>
      <c r="T29" s="12"/>
      <c r="X29" s="28">
        <f>SUM(X11:X23)</f>
        <v>0</v>
      </c>
    </row>
    <row r="30" spans="1:24" s="10" customFormat="1" ht="15" customHeight="1">
      <c r="A30" s="63" t="s">
        <v>27</v>
      </c>
      <c r="B30" s="63"/>
      <c r="C30" s="63"/>
      <c r="D30" s="63"/>
      <c r="E30" s="63"/>
      <c r="F30" s="63"/>
      <c r="G30" s="63"/>
      <c r="H30" s="63"/>
      <c r="I30" s="29">
        <f>SUM(I10:I28)</f>
        <v>150000</v>
      </c>
      <c r="J30" s="64" t="s">
        <v>28</v>
      </c>
      <c r="K30" s="64"/>
      <c r="L30" s="64"/>
      <c r="M30" s="64"/>
      <c r="N30" s="64"/>
      <c r="O30" s="30">
        <f>SUM(O10:O29)</f>
        <v>0</v>
      </c>
      <c r="S30" s="13"/>
      <c r="T30" s="12"/>
    </row>
    <row r="31" spans="1:24" ht="15" customHeight="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31"/>
    </row>
    <row r="32" spans="1:24" ht="15" customHeight="1">
      <c r="A32" s="7"/>
      <c r="O32" s="8"/>
    </row>
    <row r="33" spans="1:19" s="32" customFormat="1" ht="15" customHeight="1">
      <c r="A33" s="65" t="s">
        <v>29</v>
      </c>
      <c r="B33" s="65"/>
      <c r="C33" s="3"/>
      <c r="D33" s="66" t="s">
        <v>30</v>
      </c>
      <c r="E33" s="66"/>
      <c r="F33" s="66"/>
      <c r="G33" s="1"/>
      <c r="H33" s="1"/>
      <c r="I33" s="1"/>
      <c r="J33" s="1"/>
      <c r="K33" s="1"/>
      <c r="L33" s="1"/>
      <c r="M33" s="67" t="s">
        <v>31</v>
      </c>
      <c r="N33" s="67"/>
      <c r="O33" s="67"/>
      <c r="S33" s="33"/>
    </row>
    <row r="34" spans="1:19" s="32" customFormat="1" ht="15" customHeight="1">
      <c r="A34" s="65" t="s">
        <v>32</v>
      </c>
      <c r="B34" s="65"/>
      <c r="C34" s="3"/>
      <c r="D34" s="66" t="s">
        <v>33</v>
      </c>
      <c r="E34" s="66"/>
      <c r="F34" s="66"/>
      <c r="G34" s="1"/>
      <c r="H34" s="66" t="s">
        <v>34</v>
      </c>
      <c r="I34" s="66"/>
      <c r="J34" s="66" t="s">
        <v>35</v>
      </c>
      <c r="K34" s="66"/>
      <c r="L34" s="66"/>
      <c r="M34" s="66" t="s">
        <v>36</v>
      </c>
      <c r="N34" s="66"/>
      <c r="O34" s="40" t="s">
        <v>37</v>
      </c>
      <c r="S34" s="33"/>
    </row>
    <row r="35" spans="1:19" s="32" customFormat="1" ht="15" customHeight="1">
      <c r="A35" s="34"/>
      <c r="H35" s="3"/>
      <c r="O35" s="35"/>
      <c r="S35" s="33"/>
    </row>
    <row r="36" spans="1:19" s="32" customFormat="1" ht="15" customHeight="1">
      <c r="A36" s="34"/>
      <c r="H36" s="3"/>
      <c r="O36" s="35"/>
      <c r="S36" s="33"/>
    </row>
    <row r="37" spans="1:19" s="32" customFormat="1" ht="15" customHeight="1">
      <c r="A37" s="34"/>
      <c r="H37" s="3"/>
      <c r="O37" s="35"/>
      <c r="S37" s="33"/>
    </row>
    <row r="38" spans="1:19" s="32" customFormat="1" ht="15" customHeight="1">
      <c r="A38" s="34"/>
      <c r="H38" s="3"/>
      <c r="O38" s="35"/>
      <c r="S38" s="33"/>
    </row>
    <row r="39" spans="1:19" s="32" customFormat="1" ht="15" customHeight="1">
      <c r="A39" s="68" t="s">
        <v>38</v>
      </c>
      <c r="B39" s="68"/>
      <c r="C39" s="39"/>
      <c r="D39" s="69" t="s">
        <v>6</v>
      </c>
      <c r="E39" s="69"/>
      <c r="F39" s="69"/>
      <c r="G39" s="36"/>
      <c r="H39" s="69" t="s">
        <v>6</v>
      </c>
      <c r="I39" s="69"/>
      <c r="J39" s="69" t="s">
        <v>6</v>
      </c>
      <c r="K39" s="69"/>
      <c r="L39" s="69"/>
      <c r="M39" s="69"/>
      <c r="N39" s="69"/>
      <c r="O39" s="37"/>
      <c r="S39" s="33"/>
    </row>
  </sheetData>
  <mergeCells count="62">
    <mergeCell ref="A39:B39"/>
    <mergeCell ref="D39:F39"/>
    <mergeCell ref="H39:I39"/>
    <mergeCell ref="J39:L39"/>
    <mergeCell ref="M39:N39"/>
    <mergeCell ref="A33:B33"/>
    <mergeCell ref="D33:F33"/>
    <mergeCell ref="M33:O33"/>
    <mergeCell ref="A34:B34"/>
    <mergeCell ref="D34:F34"/>
    <mergeCell ref="H34:I34"/>
    <mergeCell ref="J34:L34"/>
    <mergeCell ref="M34:N34"/>
    <mergeCell ref="M27:N27"/>
    <mergeCell ref="M28:N28"/>
    <mergeCell ref="B29:D29"/>
    <mergeCell ref="M29:N29"/>
    <mergeCell ref="A30:H30"/>
    <mergeCell ref="J30:N30"/>
    <mergeCell ref="B23:D23"/>
    <mergeCell ref="M23:N23"/>
    <mergeCell ref="M24:N24"/>
    <mergeCell ref="M25:N25"/>
    <mergeCell ref="M26:N26"/>
    <mergeCell ref="B20:D20"/>
    <mergeCell ref="M20:N20"/>
    <mergeCell ref="B21:D21"/>
    <mergeCell ref="M21:N21"/>
    <mergeCell ref="B22:D22"/>
    <mergeCell ref="M22:N22"/>
    <mergeCell ref="B16:D16"/>
    <mergeCell ref="M16:N16"/>
    <mergeCell ref="M17:N17"/>
    <mergeCell ref="M18:N18"/>
    <mergeCell ref="M19:N19"/>
    <mergeCell ref="B13:D13"/>
    <mergeCell ref="M13:N13"/>
    <mergeCell ref="B14:D14"/>
    <mergeCell ref="M14:N14"/>
    <mergeCell ref="B15:D15"/>
    <mergeCell ref="M15:N15"/>
    <mergeCell ref="Q10:X10"/>
    <mergeCell ref="B11:D11"/>
    <mergeCell ref="M11:N11"/>
    <mergeCell ref="B12:D12"/>
    <mergeCell ref="M12:N12"/>
    <mergeCell ref="K8:N8"/>
    <mergeCell ref="O8:O9"/>
    <mergeCell ref="M9:N9"/>
    <mergeCell ref="B10:D10"/>
    <mergeCell ref="M10:N10"/>
    <mergeCell ref="D7:I7"/>
    <mergeCell ref="A8:A9"/>
    <mergeCell ref="B8:D9"/>
    <mergeCell ref="E8:I8"/>
    <mergeCell ref="J8:J9"/>
    <mergeCell ref="A1:O1"/>
    <mergeCell ref="A2:O2"/>
    <mergeCell ref="D5:I5"/>
    <mergeCell ref="N5:O5"/>
    <mergeCell ref="D6:I6"/>
    <mergeCell ref="N6:O6"/>
  </mergeCells>
  <printOptions horizontalCentered="1"/>
  <pageMargins left="0.118055555555556" right="0.118055555555556" top="0.47222222222222199" bottom="0.156944444444444" header="0.511811023622047" footer="0.511811023622047"/>
  <pageSetup paperSize="9" scale="83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 5</dc:creator>
  <cp:keywords/>
  <dc:description/>
  <cp:lastModifiedBy>Rieza Eka Tomara</cp:lastModifiedBy>
  <cp:revision>0</cp:revision>
  <dcterms:created xsi:type="dcterms:W3CDTF">2023-07-27T05:06:00Z</dcterms:created>
  <dcterms:modified xsi:type="dcterms:W3CDTF">2026-04-22T03:03:12Z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4BF33EA5A58B4A88AF4A3BA58F1D5DD2_13</vt:lpwstr>
  </property>
  <property fmtid="{D5CDD505-2E9C-101B-9397-08002B2CF9AE}" pid="3" name="KSOProductBuildVer">
    <vt:lpwstr>1033-12.2.0.22549</vt:lpwstr>
  </property>
</Properties>
</file>