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Lenovo L460\Downloads\"/>
    </mc:Choice>
  </mc:AlternateContent>
  <xr:revisionPtr revIDLastSave="0" documentId="13_ncr:1_{73D61981-E59E-4214-A7EA-48E584D3F9D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3" i="3" l="1"/>
  <c r="E53" i="3" s="1"/>
  <c r="C54" i="3" s="1"/>
  <c r="E54" i="3" s="1"/>
  <c r="C52" i="3"/>
  <c r="E50" i="3" l="1"/>
  <c r="C51" i="3" s="1"/>
  <c r="E51" i="3" s="1"/>
  <c r="E52" i="3" s="1"/>
  <c r="E27" i="3"/>
  <c r="C28" i="3" s="1"/>
  <c r="E28" i="3" s="1"/>
  <c r="C29" i="3" s="1"/>
  <c r="E29" i="3" s="1"/>
  <c r="C30" i="3" s="1"/>
  <c r="E30" i="3" s="1"/>
  <c r="C31" i="3" s="1"/>
  <c r="E31" i="3" s="1"/>
  <c r="C32" i="3" s="1"/>
  <c r="E32" i="3" s="1"/>
  <c r="C33" i="3" s="1"/>
  <c r="E33" i="3" s="1"/>
  <c r="C34" i="3" s="1"/>
  <c r="E34" i="3" s="1"/>
  <c r="C35" i="3" s="1"/>
  <c r="E35" i="3" s="1"/>
  <c r="C36" i="3" s="1"/>
  <c r="E36" i="3" s="1"/>
  <c r="C37" i="3" s="1"/>
  <c r="E37" i="3" s="1"/>
  <c r="C38" i="3" s="1"/>
  <c r="E38" i="3" s="1"/>
  <c r="C39" i="3" s="1"/>
  <c r="E39" i="3" s="1"/>
  <c r="C40" i="3" s="1"/>
  <c r="E40" i="3" s="1"/>
  <c r="C41" i="3" s="1"/>
  <c r="E41" i="3" s="1"/>
  <c r="C42" i="3" s="1"/>
  <c r="E42" i="3" s="1"/>
  <c r="C43" i="3" s="1"/>
  <c r="E43" i="3" s="1"/>
  <c r="C44" i="3" s="1"/>
  <c r="E44" i="3" s="1"/>
  <c r="C45" i="3" s="1"/>
  <c r="E45" i="3" s="1"/>
  <c r="E8" i="3"/>
  <c r="C9" i="3" s="1"/>
  <c r="E9" i="3" s="1"/>
  <c r="C10" i="3" s="1"/>
  <c r="E10" i="3" s="1"/>
  <c r="C11" i="3" s="1"/>
  <c r="E11" i="3" s="1"/>
  <c r="C12" i="3" s="1"/>
  <c r="E12" i="3" s="1"/>
  <c r="C13" i="3" s="1"/>
  <c r="E13" i="3" s="1"/>
  <c r="C14" i="3" s="1"/>
  <c r="E14" i="3" s="1"/>
  <c r="C15" i="3" l="1"/>
  <c r="E15" i="3" s="1"/>
  <c r="C16" i="3" s="1"/>
  <c r="E16" i="3" s="1"/>
  <c r="C17" i="3" s="1"/>
  <c r="E17" i="3" s="1"/>
  <c r="C18" i="3" s="1"/>
  <c r="E18" i="3" s="1"/>
  <c r="C19" i="3" s="1"/>
  <c r="E19" i="3" s="1"/>
  <c r="C20" i="3" s="1"/>
  <c r="E20" i="3" s="1"/>
  <c r="C21" i="3" s="1"/>
  <c r="E21" i="3" s="1"/>
  <c r="C22" i="3" s="1"/>
  <c r="E22" i="3" s="1"/>
</calcChain>
</file>

<file path=xl/sharedStrings.xml><?xml version="1.0" encoding="utf-8"?>
<sst xmlns="http://schemas.openxmlformats.org/spreadsheetml/2006/main" count="137" uniqueCount="70">
  <si>
    <t>No</t>
  </si>
  <si>
    <t>Waktu</t>
  </si>
  <si>
    <t>Durasi (menit)</t>
  </si>
  <si>
    <t>Kegiatan</t>
  </si>
  <si>
    <t>-</t>
  </si>
  <si>
    <t>Pemateri/Penanggung Jawab</t>
  </si>
  <si>
    <t>Ustadz Nurdin Sarbini, Lc., M.Pd</t>
  </si>
  <si>
    <t xml:space="preserve">RUNDOWN ACARA </t>
  </si>
  <si>
    <t xml:space="preserve">Istirahat dan Shalat Maghrib </t>
  </si>
  <si>
    <t>Makan Malam</t>
  </si>
  <si>
    <t xml:space="preserve">Shalat Isya </t>
  </si>
  <si>
    <t>Istirahat dan Tidur Malam</t>
  </si>
  <si>
    <t xml:space="preserve">Persiapan dan Shalat Subuh </t>
  </si>
  <si>
    <t>Sarapan, Mandi dan lain-lain</t>
  </si>
  <si>
    <t>Coffee Break</t>
  </si>
  <si>
    <t>Isoma</t>
  </si>
  <si>
    <t>Penutupan Raker</t>
  </si>
  <si>
    <t>Ketua Panitia,</t>
  </si>
  <si>
    <t>Ttd</t>
  </si>
  <si>
    <t>Panitia</t>
  </si>
  <si>
    <t>Prepare dan Pembagian Kamar</t>
  </si>
  <si>
    <t>Pembukaan</t>
  </si>
  <si>
    <t>Keterangan/Lokasi</t>
  </si>
  <si>
    <t>TAHUN 2026/2027</t>
  </si>
  <si>
    <t>Ustadz Muhammad Adib Achsan, S.Pd.dan Ustadz Bachtiar, A.M.d.Kom.</t>
  </si>
  <si>
    <t>Free Time dan Olah Rasa</t>
  </si>
  <si>
    <t>Ustadz Tri Sunyoto, M.Pd</t>
  </si>
  <si>
    <t>Jum'at, 17 Juli 2026</t>
  </si>
  <si>
    <t>Ustadz Muhibudin, S.Pd</t>
  </si>
  <si>
    <t xml:space="preserve">Haflah At Takhorruj Al Mutawassithoh </t>
  </si>
  <si>
    <t>Ustadz Mamid, S.Pd.I</t>
  </si>
  <si>
    <t>Muhammad Adib Achsan, S.Pd.</t>
  </si>
  <si>
    <t>Rabu, 15 juli 2026</t>
  </si>
  <si>
    <t>Persiapan Keberangkatan</t>
  </si>
  <si>
    <t>Ishoma</t>
  </si>
  <si>
    <t>Kamis, 16 Juli 2026</t>
  </si>
  <si>
    <t>Free Time dan Olah Raga</t>
  </si>
  <si>
    <t>Ustadz Teguh Hudaya, Lc</t>
  </si>
  <si>
    <t>Pak Fikri Taufik Hidaytullah dan Pak Wawaz Zawazir,</t>
  </si>
  <si>
    <t>RAPAT KERJA PESANTREN ULUL AL-BAAB SUKABUMI</t>
  </si>
  <si>
    <t>Sukabumi, 15 Juli 2026</t>
  </si>
  <si>
    <t>Ustadz Wahab Rajasam, M.Pd</t>
  </si>
  <si>
    <t>- Akomodasi         - Moda kendaraan</t>
  </si>
  <si>
    <t>Materi 1: Urgensi Service Excellent dalam membangun kepercayaan publik pada Pesantren</t>
  </si>
  <si>
    <t>Presentasi KA MTS</t>
  </si>
  <si>
    <t>Presentasi KA SMA</t>
  </si>
  <si>
    <t>Ust. Ujang Ridwan Nurjalal, MM.Pd</t>
  </si>
  <si>
    <t>Ust. Ahmad Farhan, Lc, MA</t>
  </si>
  <si>
    <t>Ustadz Ahmad Muhlis, S.Pd, Gr &amp; M'Bach</t>
  </si>
  <si>
    <t>Presentasi Kurikulum</t>
  </si>
  <si>
    <t>ust. Ilham &amp; Ust. Abdul Aziz</t>
  </si>
  <si>
    <t>Presentasi RT (Sarpras)</t>
  </si>
  <si>
    <t>Presentasi Kabid PUAS Putri</t>
  </si>
  <si>
    <t>Ustadzah Halimah</t>
  </si>
  <si>
    <t>Ustadz Iyan Sofyan</t>
  </si>
  <si>
    <t>Materi 2 : Kepegawaian dan Pengenalan koperasi pegawai</t>
  </si>
  <si>
    <t>Ustadz Arifin Saefulloh, Lc, MM, M.Pd</t>
  </si>
  <si>
    <t>Pak Fikri Taufik Hidaytullah H8:H16dan Pak Wawaz Zawazir,</t>
  </si>
  <si>
    <t>Pengenalan Pegawai Baru</t>
  </si>
  <si>
    <t>Ustadz Ujang Marfudin, S.Si, M.Si</t>
  </si>
  <si>
    <t>Materi 3 : Struktur Organisasi Pesantren</t>
  </si>
  <si>
    <t>Materi 4: Manajemen Lembaga</t>
  </si>
  <si>
    <t>Materi 5: Prosedur Keuangan (Pengajuan dan Laporan)</t>
  </si>
  <si>
    <t>Materi 6 : Persiapan Welcome Day</t>
  </si>
  <si>
    <t>Materi 7 : Strategi PPDB dan Aplikasinya</t>
  </si>
  <si>
    <t>Materi 9 : Media dan Kurikulum Islamic Entrepreneurship</t>
  </si>
  <si>
    <t>Materi 8 : Kepengasuhan</t>
  </si>
  <si>
    <t>Presentasi Divisi Tata usaha</t>
  </si>
  <si>
    <t xml:space="preserve">Istirahat dan Shalat Ashar </t>
  </si>
  <si>
    <t>Istirahat dan Shalat Ashar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</si>
</sst>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"/>
    <numFmt numFmtId="165" formatCode="[$-13809]hh:mm;@"/>
  </numFmts>
  <fonts count="7" x14ac:knownFonts="1">
    <font>
      <sz val="12"/>
      <name val="Times New Roman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FFFFFF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1" fillId="0" borderId="3" xfId="0" quotePrefix="1" applyFont="1" applyBorder="1" applyAlignment="1">
      <alignment horizontal="left" vertical="center" wrapText="1"/>
    </xf>
    <xf numFmtId="164" fontId="1" fillId="0" borderId="15" xfId="0" quotePrefix="1" applyNumberFormat="1" applyFont="1" applyBorder="1" applyAlignment="1">
      <alignment horizontal="center" vertical="center"/>
    </xf>
    <xf numFmtId="0" fontId="1" fillId="0" borderId="16" xfId="0" quotePrefix="1" applyFont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8DBA-C08D-4FD0-8382-5F2859CF4FD5}">
  <dimension ref="B2:I62"/>
  <sheetViews>
    <sheetView tabSelected="1" topLeftCell="A27" zoomScale="110" zoomScaleNormal="110" workbookViewId="0">
      <selection activeCell="G31" sqref="G31"/>
    </sheetView>
  </sheetViews>
  <sheetFormatPr defaultColWidth="9" defaultRowHeight="15.75" x14ac:dyDescent="0.25"/>
  <cols>
    <col min="1" max="1" width="0.625" style="1" customWidth="1"/>
    <col min="2" max="2" width="3.375" style="2" customWidth="1"/>
    <col min="3" max="3" width="5.625" style="1" bestFit="1" customWidth="1"/>
    <col min="4" max="4" width="1.25" style="1" customWidth="1"/>
    <col min="5" max="5" width="5.5" style="2" bestFit="1" customWidth="1"/>
    <col min="6" max="6" width="7.125" style="2" customWidth="1"/>
    <col min="7" max="7" width="29.875" style="1" customWidth="1"/>
    <col min="8" max="8" width="30.5" style="1" bestFit="1" customWidth="1"/>
    <col min="9" max="9" width="12.875" style="22" customWidth="1"/>
    <col min="10" max="16384" width="9" style="1"/>
  </cols>
  <sheetData>
    <row r="2" spans="2:9" ht="20.25" x14ac:dyDescent="0.25">
      <c r="B2" s="38" t="s">
        <v>7</v>
      </c>
      <c r="C2" s="38"/>
      <c r="D2" s="38"/>
      <c r="E2" s="38"/>
      <c r="F2" s="38"/>
      <c r="G2" s="38"/>
      <c r="H2" s="38"/>
      <c r="I2" s="38"/>
    </row>
    <row r="3" spans="2:9" ht="20.25" x14ac:dyDescent="0.25">
      <c r="B3" s="38" t="s">
        <v>39</v>
      </c>
      <c r="C3" s="38"/>
      <c r="D3" s="38"/>
      <c r="E3" s="38"/>
      <c r="F3" s="38"/>
      <c r="G3" s="38"/>
      <c r="H3" s="38"/>
      <c r="I3" s="38"/>
    </row>
    <row r="4" spans="2:9" ht="20.25" x14ac:dyDescent="0.25">
      <c r="B4" s="38" t="s">
        <v>23</v>
      </c>
      <c r="C4" s="38"/>
      <c r="D4" s="38"/>
      <c r="E4" s="38"/>
      <c r="F4" s="38"/>
      <c r="G4" s="38"/>
      <c r="H4" s="38"/>
      <c r="I4" s="38"/>
    </row>
    <row r="5" spans="2:9" ht="16.5" thickBot="1" x14ac:dyDescent="0.3"/>
    <row r="6" spans="2:9" s="3" customFormat="1" ht="32.25" thickBot="1" x14ac:dyDescent="0.3">
      <c r="B6" s="14" t="s">
        <v>0</v>
      </c>
      <c r="C6" s="39" t="s">
        <v>1</v>
      </c>
      <c r="D6" s="39"/>
      <c r="E6" s="39"/>
      <c r="F6" s="15" t="s">
        <v>2</v>
      </c>
      <c r="G6" s="16" t="s">
        <v>3</v>
      </c>
      <c r="H6" s="16" t="s">
        <v>5</v>
      </c>
      <c r="I6" s="23" t="s">
        <v>22</v>
      </c>
    </row>
    <row r="7" spans="2:9" s="3" customFormat="1" x14ac:dyDescent="0.25">
      <c r="B7" s="31" t="s">
        <v>32</v>
      </c>
      <c r="C7" s="32"/>
      <c r="D7" s="32"/>
      <c r="E7" s="32"/>
      <c r="F7" s="32"/>
      <c r="G7" s="32"/>
      <c r="H7" s="32"/>
      <c r="I7" s="33"/>
    </row>
    <row r="8" spans="2:9" ht="47.25" x14ac:dyDescent="0.25">
      <c r="B8" s="4">
        <v>1</v>
      </c>
      <c r="C8" s="27">
        <v>0.33333333333333331</v>
      </c>
      <c r="D8" s="28" t="s">
        <v>4</v>
      </c>
      <c r="E8" s="29">
        <f>C8+F8/1440</f>
        <v>0.45833333333333331</v>
      </c>
      <c r="F8" s="5">
        <v>180</v>
      </c>
      <c r="G8" s="6" t="s">
        <v>33</v>
      </c>
      <c r="H8" s="7" t="s">
        <v>57</v>
      </c>
      <c r="I8" s="26" t="s">
        <v>42</v>
      </c>
    </row>
    <row r="9" spans="2:9" ht="37.5" customHeight="1" x14ac:dyDescent="0.25">
      <c r="B9" s="4">
        <v>2</v>
      </c>
      <c r="C9" s="27">
        <f>E8</f>
        <v>0.45833333333333331</v>
      </c>
      <c r="D9" s="28" t="s">
        <v>4</v>
      </c>
      <c r="E9" s="29">
        <f t="shared" ref="E9:E18" si="0">C9+F9/1440</f>
        <v>0.5</v>
      </c>
      <c r="F9" s="5">
        <v>60</v>
      </c>
      <c r="G9" s="6" t="s">
        <v>20</v>
      </c>
      <c r="H9" s="7" t="s">
        <v>38</v>
      </c>
      <c r="I9" s="25"/>
    </row>
    <row r="10" spans="2:9" ht="23.25" customHeight="1" x14ac:dyDescent="0.25">
      <c r="B10" s="4">
        <v>3</v>
      </c>
      <c r="C10" s="27">
        <f t="shared" ref="C10:C18" si="1">E9</f>
        <v>0.5</v>
      </c>
      <c r="D10" s="28" t="s">
        <v>4</v>
      </c>
      <c r="E10" s="29">
        <f t="shared" si="0"/>
        <v>0.5625</v>
      </c>
      <c r="F10" s="5">
        <v>90</v>
      </c>
      <c r="G10" s="7" t="s">
        <v>34</v>
      </c>
      <c r="H10" s="13" t="s">
        <v>30</v>
      </c>
      <c r="I10" s="19"/>
    </row>
    <row r="11" spans="2:9" ht="47.25" x14ac:dyDescent="0.25">
      <c r="B11" s="4">
        <v>4</v>
      </c>
      <c r="C11" s="27">
        <f t="shared" si="1"/>
        <v>0.5625</v>
      </c>
      <c r="D11" s="28" t="s">
        <v>4</v>
      </c>
      <c r="E11" s="29">
        <f t="shared" si="0"/>
        <v>0.57291666666666663</v>
      </c>
      <c r="F11" s="5">
        <v>15</v>
      </c>
      <c r="G11" s="6" t="s">
        <v>21</v>
      </c>
      <c r="H11" s="7" t="s">
        <v>24</v>
      </c>
      <c r="I11" s="20"/>
    </row>
    <row r="12" spans="2:9" ht="47.25" x14ac:dyDescent="0.25">
      <c r="B12" s="4">
        <v>5</v>
      </c>
      <c r="C12" s="27">
        <f t="shared" si="1"/>
        <v>0.57291666666666663</v>
      </c>
      <c r="D12" s="28" t="s">
        <v>4</v>
      </c>
      <c r="E12" s="29">
        <f t="shared" si="0"/>
        <v>0.61458333333333326</v>
      </c>
      <c r="F12" s="5">
        <v>60</v>
      </c>
      <c r="G12" s="7" t="s">
        <v>43</v>
      </c>
      <c r="H12" s="12" t="s">
        <v>6</v>
      </c>
      <c r="I12" s="20"/>
    </row>
    <row r="13" spans="2:9" ht="19.5" customHeight="1" x14ac:dyDescent="0.25">
      <c r="B13" s="4">
        <v>6</v>
      </c>
      <c r="C13" s="27">
        <f t="shared" si="1"/>
        <v>0.61458333333333326</v>
      </c>
      <c r="D13" s="28" t="s">
        <v>4</v>
      </c>
      <c r="E13" s="29">
        <f t="shared" si="0"/>
        <v>0.65624999999999989</v>
      </c>
      <c r="F13" s="5">
        <v>60</v>
      </c>
      <c r="G13" s="6" t="s">
        <v>68</v>
      </c>
      <c r="H13" s="13" t="s">
        <v>30</v>
      </c>
      <c r="I13" s="20"/>
    </row>
    <row r="14" spans="2:9" ht="31.5" x14ac:dyDescent="0.25">
      <c r="B14" s="4">
        <v>7</v>
      </c>
      <c r="C14" s="27">
        <f t="shared" si="1"/>
        <v>0.65624999999999989</v>
      </c>
      <c r="D14" s="28" t="s">
        <v>4</v>
      </c>
      <c r="E14" s="29">
        <f t="shared" si="0"/>
        <v>0.69791666666666652</v>
      </c>
      <c r="F14" s="5">
        <v>60</v>
      </c>
      <c r="G14" s="7" t="s">
        <v>55</v>
      </c>
      <c r="H14" s="7" t="s">
        <v>56</v>
      </c>
      <c r="I14" s="20"/>
    </row>
    <row r="15" spans="2:9" ht="30" customHeight="1" x14ac:dyDescent="0.25">
      <c r="B15" s="4">
        <v>8</v>
      </c>
      <c r="C15" s="27">
        <f t="shared" ref="C15" si="2">E14</f>
        <v>0.69791666666666652</v>
      </c>
      <c r="D15" s="28" t="s">
        <v>4</v>
      </c>
      <c r="E15" s="29">
        <f t="shared" ref="E15" si="3">C15+F15/1440</f>
        <v>0.71180555555555536</v>
      </c>
      <c r="F15" s="5">
        <v>20</v>
      </c>
      <c r="G15" s="7" t="s">
        <v>58</v>
      </c>
      <c r="H15" s="7" t="s">
        <v>59</v>
      </c>
      <c r="I15" s="20"/>
    </row>
    <row r="16" spans="2:9" ht="21.75" customHeight="1" x14ac:dyDescent="0.25">
      <c r="B16" s="4">
        <v>9</v>
      </c>
      <c r="C16" s="27">
        <f t="shared" ref="C16" si="4">E15</f>
        <v>0.71180555555555536</v>
      </c>
      <c r="D16" s="28" t="s">
        <v>4</v>
      </c>
      <c r="E16" s="29">
        <f t="shared" ref="E16" si="5">C16+F16/1440</f>
        <v>0.7256944444444442</v>
      </c>
      <c r="F16" s="5">
        <v>20</v>
      </c>
      <c r="G16" s="6" t="s">
        <v>8</v>
      </c>
      <c r="H16" s="6"/>
      <c r="I16" s="20"/>
    </row>
    <row r="17" spans="2:9" ht="21.75" customHeight="1" x14ac:dyDescent="0.25">
      <c r="B17" s="4">
        <v>10</v>
      </c>
      <c r="C17" s="27">
        <f t="shared" si="1"/>
        <v>0.7256944444444442</v>
      </c>
      <c r="D17" s="28" t="s">
        <v>4</v>
      </c>
      <c r="E17" s="29">
        <f t="shared" si="0"/>
        <v>0.7569444444444442</v>
      </c>
      <c r="F17" s="5">
        <v>45</v>
      </c>
      <c r="G17" s="6" t="s">
        <v>9</v>
      </c>
      <c r="H17" s="12" t="s">
        <v>30</v>
      </c>
      <c r="I17" s="20"/>
    </row>
    <row r="18" spans="2:9" ht="21.75" customHeight="1" x14ac:dyDescent="0.25">
      <c r="B18" s="4">
        <v>11</v>
      </c>
      <c r="C18" s="27">
        <f t="shared" si="1"/>
        <v>0.7569444444444442</v>
      </c>
      <c r="D18" s="28" t="s">
        <v>4</v>
      </c>
      <c r="E18" s="29">
        <f t="shared" si="0"/>
        <v>0.79861111111111083</v>
      </c>
      <c r="F18" s="5">
        <v>60</v>
      </c>
      <c r="G18" s="6" t="s">
        <v>10</v>
      </c>
      <c r="H18" s="6"/>
      <c r="I18" s="20"/>
    </row>
    <row r="19" spans="2:9" x14ac:dyDescent="0.25">
      <c r="B19" s="4">
        <v>12</v>
      </c>
      <c r="C19" s="27">
        <f t="shared" ref="C19" si="6">E18</f>
        <v>0.79861111111111083</v>
      </c>
      <c r="D19" s="28" t="s">
        <v>4</v>
      </c>
      <c r="E19" s="29">
        <f t="shared" ref="E19" si="7">C19+F19/1440</f>
        <v>0.8194444444444442</v>
      </c>
      <c r="F19" s="5">
        <v>30</v>
      </c>
      <c r="G19" s="6" t="s">
        <v>44</v>
      </c>
      <c r="H19" s="7" t="s">
        <v>46</v>
      </c>
      <c r="I19" s="20"/>
    </row>
    <row r="20" spans="2:9" x14ac:dyDescent="0.25">
      <c r="B20" s="4">
        <v>13</v>
      </c>
      <c r="C20" s="27">
        <f>E19</f>
        <v>0.8194444444444442</v>
      </c>
      <c r="D20" s="28" t="s">
        <v>4</v>
      </c>
      <c r="E20" s="29">
        <f t="shared" ref="E20:E22" si="8">C20+F20/1440</f>
        <v>0.84027777777777757</v>
      </c>
      <c r="F20" s="5">
        <v>30</v>
      </c>
      <c r="G20" s="6" t="s">
        <v>45</v>
      </c>
      <c r="H20" s="7" t="s">
        <v>47</v>
      </c>
      <c r="I20" s="19"/>
    </row>
    <row r="21" spans="2:9" x14ac:dyDescent="0.25">
      <c r="B21" s="4">
        <v>14</v>
      </c>
      <c r="C21" s="27">
        <f t="shared" ref="C21:C22" si="9">E20</f>
        <v>0.84027777777777757</v>
      </c>
      <c r="D21" s="28" t="s">
        <v>4</v>
      </c>
      <c r="E21" s="29">
        <f t="shared" si="8"/>
        <v>0.86111111111111094</v>
      </c>
      <c r="F21" s="5">
        <v>30</v>
      </c>
      <c r="G21" s="6" t="s">
        <v>52</v>
      </c>
      <c r="H21" s="6" t="s">
        <v>53</v>
      </c>
      <c r="I21" s="40"/>
    </row>
    <row r="22" spans="2:9" ht="21.75" customHeight="1" thickBot="1" x14ac:dyDescent="0.3">
      <c r="B22" s="4">
        <v>15</v>
      </c>
      <c r="C22" s="27">
        <f t="shared" si="9"/>
        <v>0.86111111111111094</v>
      </c>
      <c r="D22" s="28" t="s">
        <v>4</v>
      </c>
      <c r="E22" s="29">
        <f t="shared" si="8"/>
        <v>0.88194444444444431</v>
      </c>
      <c r="F22" s="5">
        <v>30</v>
      </c>
      <c r="G22" s="8" t="s">
        <v>11</v>
      </c>
      <c r="H22" s="8"/>
      <c r="I22" s="21"/>
    </row>
    <row r="23" spans="2:9" x14ac:dyDescent="0.25">
      <c r="C23" s="9"/>
      <c r="D23" s="10"/>
      <c r="E23" s="9"/>
      <c r="F23" s="11"/>
    </row>
    <row r="24" spans="2:9" ht="16.5" thickBot="1" x14ac:dyDescent="0.3">
      <c r="C24" s="9"/>
      <c r="D24" s="10"/>
      <c r="E24" s="9"/>
      <c r="F24" s="11"/>
    </row>
    <row r="25" spans="2:9" ht="32.25" thickBot="1" x14ac:dyDescent="0.3">
      <c r="B25" s="14" t="s">
        <v>0</v>
      </c>
      <c r="C25" s="34" t="s">
        <v>1</v>
      </c>
      <c r="D25" s="35"/>
      <c r="E25" s="36"/>
      <c r="F25" s="15" t="s">
        <v>2</v>
      </c>
      <c r="G25" s="16" t="s">
        <v>3</v>
      </c>
      <c r="H25" s="18" t="s">
        <v>5</v>
      </c>
      <c r="I25" s="23" t="s">
        <v>22</v>
      </c>
    </row>
    <row r="26" spans="2:9" x14ac:dyDescent="0.25">
      <c r="B26" s="31" t="s">
        <v>35</v>
      </c>
      <c r="C26" s="32"/>
      <c r="D26" s="32"/>
      <c r="E26" s="32"/>
      <c r="F26" s="32"/>
      <c r="G26" s="32"/>
      <c r="H26" s="32"/>
      <c r="I26" s="33"/>
    </row>
    <row r="27" spans="2:9" ht="20.25" customHeight="1" x14ac:dyDescent="0.25">
      <c r="B27" s="4">
        <v>1</v>
      </c>
      <c r="C27" s="27">
        <v>0.16666666666666666</v>
      </c>
      <c r="D27" s="28" t="s">
        <v>4</v>
      </c>
      <c r="E27" s="29">
        <f>C27+F27/1440</f>
        <v>0.20833333333333331</v>
      </c>
      <c r="F27" s="5">
        <v>60</v>
      </c>
      <c r="G27" s="6" t="s">
        <v>12</v>
      </c>
      <c r="H27" s="6" t="s">
        <v>19</v>
      </c>
      <c r="I27" s="19"/>
    </row>
    <row r="28" spans="2:9" ht="20.25" customHeight="1" x14ac:dyDescent="0.25">
      <c r="B28" s="4">
        <v>2</v>
      </c>
      <c r="C28" s="30">
        <f>E27</f>
        <v>0.20833333333333331</v>
      </c>
      <c r="D28" s="28" t="s">
        <v>4</v>
      </c>
      <c r="E28" s="29">
        <f t="shared" ref="E28:E38" si="10">C28+F28/1440</f>
        <v>0.29166666666666663</v>
      </c>
      <c r="F28" s="5">
        <v>120</v>
      </c>
      <c r="G28" s="6" t="s">
        <v>36</v>
      </c>
      <c r="H28" s="6" t="s">
        <v>19</v>
      </c>
      <c r="I28" s="19"/>
    </row>
    <row r="29" spans="2:9" ht="20.25" customHeight="1" x14ac:dyDescent="0.25">
      <c r="B29" s="4">
        <v>3</v>
      </c>
      <c r="C29" s="30">
        <f t="shared" ref="C29:C38" si="11">E28</f>
        <v>0.29166666666666663</v>
      </c>
      <c r="D29" s="28" t="s">
        <v>4</v>
      </c>
      <c r="E29" s="29">
        <f t="shared" si="10"/>
        <v>0.33333333333333331</v>
      </c>
      <c r="F29" s="5">
        <v>60</v>
      </c>
      <c r="G29" s="6" t="s">
        <v>13</v>
      </c>
      <c r="H29" s="6"/>
      <c r="I29" s="19"/>
    </row>
    <row r="30" spans="2:9" ht="31.5" x14ac:dyDescent="0.25">
      <c r="B30" s="4">
        <v>4</v>
      </c>
      <c r="C30" s="30">
        <f t="shared" si="11"/>
        <v>0.33333333333333331</v>
      </c>
      <c r="D30" s="28" t="s">
        <v>4</v>
      </c>
      <c r="E30" s="29">
        <f t="shared" si="10"/>
        <v>0.375</v>
      </c>
      <c r="F30" s="5">
        <v>60</v>
      </c>
      <c r="G30" s="7" t="s">
        <v>60</v>
      </c>
      <c r="H30" s="13" t="s">
        <v>26</v>
      </c>
      <c r="I30" s="19"/>
    </row>
    <row r="31" spans="2:9" x14ac:dyDescent="0.25">
      <c r="B31" s="4">
        <v>5</v>
      </c>
      <c r="C31" s="30">
        <f t="shared" si="11"/>
        <v>0.375</v>
      </c>
      <c r="D31" s="28" t="s">
        <v>4</v>
      </c>
      <c r="E31" s="29">
        <f t="shared" si="10"/>
        <v>0.38541666666666669</v>
      </c>
      <c r="F31" s="5">
        <v>15</v>
      </c>
      <c r="G31" s="6" t="s">
        <v>14</v>
      </c>
      <c r="H31" s="6"/>
      <c r="I31" s="20"/>
    </row>
    <row r="32" spans="2:9" ht="19.5" customHeight="1" x14ac:dyDescent="0.25">
      <c r="B32" s="4">
        <v>6</v>
      </c>
      <c r="C32" s="30">
        <f t="shared" si="11"/>
        <v>0.38541666666666669</v>
      </c>
      <c r="D32" s="28" t="s">
        <v>4</v>
      </c>
      <c r="E32" s="29">
        <f t="shared" si="10"/>
        <v>0.44791666666666669</v>
      </c>
      <c r="F32" s="5">
        <v>90</v>
      </c>
      <c r="G32" s="7" t="s">
        <v>61</v>
      </c>
      <c r="H32" s="7" t="s">
        <v>41</v>
      </c>
      <c r="I32" s="20"/>
    </row>
    <row r="33" spans="2:9" ht="31.5" x14ac:dyDescent="0.25">
      <c r="B33" s="4">
        <v>7</v>
      </c>
      <c r="C33" s="30">
        <f t="shared" si="11"/>
        <v>0.44791666666666669</v>
      </c>
      <c r="D33" s="28" t="s">
        <v>4</v>
      </c>
      <c r="E33" s="29">
        <f t="shared" si="10"/>
        <v>0.48958333333333337</v>
      </c>
      <c r="F33" s="5">
        <v>60</v>
      </c>
      <c r="G33" s="7" t="s">
        <v>62</v>
      </c>
      <c r="H33" s="7" t="s">
        <v>48</v>
      </c>
      <c r="I33" s="20"/>
    </row>
    <row r="34" spans="2:9" x14ac:dyDescent="0.25">
      <c r="B34" s="4">
        <v>8</v>
      </c>
      <c r="C34" s="30">
        <f t="shared" si="11"/>
        <v>0.48958333333333337</v>
      </c>
      <c r="D34" s="28" t="s">
        <v>4</v>
      </c>
      <c r="E34" s="29">
        <f t="shared" si="10"/>
        <v>0.54166666666666674</v>
      </c>
      <c r="F34" s="5">
        <v>75</v>
      </c>
      <c r="G34" s="6" t="s">
        <v>15</v>
      </c>
      <c r="H34" s="6"/>
      <c r="I34" s="20"/>
    </row>
    <row r="35" spans="2:9" ht="19.5" customHeight="1" x14ac:dyDescent="0.25">
      <c r="B35" s="4">
        <v>9</v>
      </c>
      <c r="C35" s="30">
        <f t="shared" si="11"/>
        <v>0.54166666666666674</v>
      </c>
      <c r="D35" s="28" t="s">
        <v>4</v>
      </c>
      <c r="E35" s="29">
        <f t="shared" si="10"/>
        <v>0.56250000000000011</v>
      </c>
      <c r="F35" s="5">
        <v>30</v>
      </c>
      <c r="G35" s="7" t="s">
        <v>63</v>
      </c>
      <c r="H35" s="7" t="s">
        <v>54</v>
      </c>
      <c r="I35" s="20"/>
    </row>
    <row r="36" spans="2:9" ht="31.5" x14ac:dyDescent="0.25">
      <c r="B36" s="4">
        <v>10</v>
      </c>
      <c r="C36" s="30">
        <f t="shared" si="11"/>
        <v>0.56250000000000011</v>
      </c>
      <c r="D36" s="28" t="s">
        <v>4</v>
      </c>
      <c r="E36" s="29">
        <f t="shared" si="10"/>
        <v>0.62500000000000011</v>
      </c>
      <c r="F36" s="5">
        <v>90</v>
      </c>
      <c r="G36" s="7" t="s">
        <v>64</v>
      </c>
      <c r="H36" s="7" t="s">
        <v>41</v>
      </c>
      <c r="I36" s="20"/>
    </row>
    <row r="37" spans="2:9" ht="19.5" customHeight="1" x14ac:dyDescent="0.25">
      <c r="B37" s="4">
        <v>11</v>
      </c>
      <c r="C37" s="30">
        <f t="shared" si="11"/>
        <v>0.62500000000000011</v>
      </c>
      <c r="D37" s="28" t="s">
        <v>4</v>
      </c>
      <c r="E37" s="29">
        <f t="shared" si="10"/>
        <v>0.64583333333333348</v>
      </c>
      <c r="F37" s="5">
        <v>30</v>
      </c>
      <c r="G37" s="6" t="s">
        <v>69</v>
      </c>
      <c r="H37" s="6"/>
      <c r="I37" s="20"/>
    </row>
    <row r="38" spans="2:9" x14ac:dyDescent="0.25">
      <c r="B38" s="4">
        <v>12</v>
      </c>
      <c r="C38" s="30">
        <f t="shared" si="11"/>
        <v>0.64583333333333348</v>
      </c>
      <c r="D38" s="28" t="s">
        <v>4</v>
      </c>
      <c r="E38" s="29">
        <f t="shared" si="10"/>
        <v>0.68750000000000011</v>
      </c>
      <c r="F38" s="5">
        <v>60</v>
      </c>
      <c r="G38" s="6" t="s">
        <v>66</v>
      </c>
      <c r="H38" s="6" t="s">
        <v>41</v>
      </c>
      <c r="I38" s="20"/>
    </row>
    <row r="39" spans="2:9" ht="31.5" x14ac:dyDescent="0.25">
      <c r="B39" s="4">
        <v>13</v>
      </c>
      <c r="C39" s="30">
        <f>E38</f>
        <v>0.68750000000000011</v>
      </c>
      <c r="D39" s="28" t="s">
        <v>4</v>
      </c>
      <c r="E39" s="29">
        <f>C39+F39/1440</f>
        <v>0.72916666666666674</v>
      </c>
      <c r="F39" s="5">
        <v>60</v>
      </c>
      <c r="G39" s="7" t="s">
        <v>65</v>
      </c>
      <c r="H39" s="6" t="s">
        <v>37</v>
      </c>
      <c r="I39" s="19"/>
    </row>
    <row r="40" spans="2:9" ht="20.25" customHeight="1" x14ac:dyDescent="0.25">
      <c r="B40" s="4">
        <v>14</v>
      </c>
      <c r="C40" s="30">
        <f t="shared" ref="C40:C41" si="12">E39</f>
        <v>0.72916666666666674</v>
      </c>
      <c r="D40" s="28" t="s">
        <v>4</v>
      </c>
      <c r="E40" s="29">
        <f t="shared" ref="E40:E41" si="13">C40+F40/1440</f>
        <v>0.77083333333333337</v>
      </c>
      <c r="F40" s="5">
        <v>60</v>
      </c>
      <c r="G40" s="6" t="s">
        <v>34</v>
      </c>
      <c r="H40" s="13" t="s">
        <v>30</v>
      </c>
      <c r="I40" s="19"/>
    </row>
    <row r="41" spans="2:9" ht="20.25" customHeight="1" x14ac:dyDescent="0.25">
      <c r="B41" s="4">
        <v>15</v>
      </c>
      <c r="C41" s="30">
        <f t="shared" si="12"/>
        <v>0.77083333333333337</v>
      </c>
      <c r="D41" s="28" t="s">
        <v>4</v>
      </c>
      <c r="E41" s="29">
        <f t="shared" si="13"/>
        <v>0.79166666666666674</v>
      </c>
      <c r="F41" s="5">
        <v>30</v>
      </c>
      <c r="G41" s="6" t="s">
        <v>10</v>
      </c>
      <c r="H41" s="6"/>
      <c r="I41" s="19"/>
    </row>
    <row r="42" spans="2:9" ht="20.25" customHeight="1" x14ac:dyDescent="0.25">
      <c r="B42" s="4">
        <v>16</v>
      </c>
      <c r="C42" s="30">
        <f t="shared" ref="C42:C43" si="14">E41</f>
        <v>0.79166666666666674</v>
      </c>
      <c r="D42" s="28" t="s">
        <v>4</v>
      </c>
      <c r="E42" s="29">
        <f t="shared" ref="E42:E43" si="15">C42+F42/1440</f>
        <v>0.81250000000000011</v>
      </c>
      <c r="F42" s="5">
        <v>30</v>
      </c>
      <c r="G42" s="6" t="s">
        <v>67</v>
      </c>
      <c r="H42" s="6" t="s">
        <v>59</v>
      </c>
      <c r="I42" s="19"/>
    </row>
    <row r="43" spans="2:9" ht="20.25" customHeight="1" x14ac:dyDescent="0.25">
      <c r="B43" s="4">
        <v>17</v>
      </c>
      <c r="C43" s="30">
        <f t="shared" si="14"/>
        <v>0.81250000000000011</v>
      </c>
      <c r="D43" s="28" t="s">
        <v>4</v>
      </c>
      <c r="E43" s="29">
        <f t="shared" si="15"/>
        <v>0.83333333333333348</v>
      </c>
      <c r="F43" s="5">
        <v>30</v>
      </c>
      <c r="G43" s="6" t="s">
        <v>49</v>
      </c>
      <c r="H43" s="6" t="s">
        <v>50</v>
      </c>
      <c r="I43" s="19"/>
    </row>
    <row r="44" spans="2:9" ht="20.25" customHeight="1" x14ac:dyDescent="0.25">
      <c r="B44" s="4">
        <v>18</v>
      </c>
      <c r="C44" s="30">
        <f t="shared" ref="C44" si="16">E43</f>
        <v>0.83333333333333348</v>
      </c>
      <c r="D44" s="28" t="s">
        <v>4</v>
      </c>
      <c r="E44" s="29">
        <f t="shared" ref="E44:E45" si="17">C44+F44/1440</f>
        <v>0.85416666666666685</v>
      </c>
      <c r="F44" s="5">
        <v>30</v>
      </c>
      <c r="G44" s="6" t="s">
        <v>51</v>
      </c>
      <c r="H44" s="13" t="s">
        <v>30</v>
      </c>
      <c r="I44" s="19"/>
    </row>
    <row r="45" spans="2:9" ht="20.25" customHeight="1" thickBot="1" x14ac:dyDescent="0.3">
      <c r="B45" s="4">
        <v>19</v>
      </c>
      <c r="C45" s="30">
        <f>E44</f>
        <v>0.85416666666666685</v>
      </c>
      <c r="D45" s="28" t="s">
        <v>4</v>
      </c>
      <c r="E45" s="29">
        <f t="shared" si="17"/>
        <v>0.87500000000000022</v>
      </c>
      <c r="F45" s="5">
        <v>30</v>
      </c>
      <c r="G45" s="8" t="s">
        <v>11</v>
      </c>
      <c r="H45" s="8"/>
      <c r="I45" s="24"/>
    </row>
    <row r="46" spans="2:9" ht="17.25" customHeight="1" x14ac:dyDescent="0.25">
      <c r="C46" s="9"/>
      <c r="D46" s="10"/>
      <c r="E46" s="9"/>
      <c r="F46" s="11"/>
    </row>
    <row r="47" spans="2:9" ht="16.5" thickBot="1" x14ac:dyDescent="0.3">
      <c r="C47" s="9"/>
      <c r="D47" s="10"/>
      <c r="E47" s="9"/>
      <c r="F47" s="11"/>
    </row>
    <row r="48" spans="2:9" ht="32.25" thickBot="1" x14ac:dyDescent="0.3">
      <c r="B48" s="14" t="s">
        <v>0</v>
      </c>
      <c r="C48" s="34" t="s">
        <v>1</v>
      </c>
      <c r="D48" s="35"/>
      <c r="E48" s="36"/>
      <c r="F48" s="15" t="s">
        <v>2</v>
      </c>
      <c r="G48" s="16" t="s">
        <v>3</v>
      </c>
      <c r="H48" s="18" t="s">
        <v>5</v>
      </c>
      <c r="I48" s="23" t="s">
        <v>22</v>
      </c>
    </row>
    <row r="49" spans="2:9" x14ac:dyDescent="0.25">
      <c r="B49" s="37" t="s">
        <v>27</v>
      </c>
      <c r="C49" s="32"/>
      <c r="D49" s="32"/>
      <c r="E49" s="32"/>
      <c r="F49" s="32"/>
      <c r="G49" s="32"/>
      <c r="H49" s="32"/>
      <c r="I49" s="33"/>
    </row>
    <row r="50" spans="2:9" ht="21.75" customHeight="1" x14ac:dyDescent="0.25">
      <c r="B50" s="5">
        <v>1</v>
      </c>
      <c r="C50" s="27">
        <v>0.16666666666666666</v>
      </c>
      <c r="D50" s="28" t="s">
        <v>4</v>
      </c>
      <c r="E50" s="29">
        <f>C50+F50/1440</f>
        <v>0.20833333333333331</v>
      </c>
      <c r="F50" s="5">
        <v>60</v>
      </c>
      <c r="G50" s="6" t="s">
        <v>12</v>
      </c>
      <c r="H50" s="13" t="s">
        <v>19</v>
      </c>
      <c r="I50" s="41"/>
    </row>
    <row r="51" spans="2:9" ht="21.75" customHeight="1" x14ac:dyDescent="0.25">
      <c r="B51" s="5">
        <v>2</v>
      </c>
      <c r="C51" s="30">
        <f>E50</f>
        <v>0.20833333333333331</v>
      </c>
      <c r="D51" s="28" t="s">
        <v>4</v>
      </c>
      <c r="E51" s="29">
        <f t="shared" ref="E51:E52" si="18">C51+F51/1440</f>
        <v>0.29166666666666663</v>
      </c>
      <c r="F51" s="5">
        <v>120</v>
      </c>
      <c r="G51" s="6" t="s">
        <v>25</v>
      </c>
      <c r="H51" s="13" t="s">
        <v>19</v>
      </c>
      <c r="I51" s="41"/>
    </row>
    <row r="52" spans="2:9" ht="21.75" customHeight="1" x14ac:dyDescent="0.25">
      <c r="B52" s="5">
        <v>3</v>
      </c>
      <c r="C52" s="30">
        <f t="shared" ref="C52:C54" si="19">E51</f>
        <v>0.29166666666666663</v>
      </c>
      <c r="D52" s="28" t="s">
        <v>4</v>
      </c>
      <c r="E52" s="29">
        <f t="shared" si="18"/>
        <v>0.33333333333333331</v>
      </c>
      <c r="F52" s="5">
        <v>60</v>
      </c>
      <c r="G52" s="6" t="s">
        <v>13</v>
      </c>
      <c r="H52" s="13" t="s">
        <v>30</v>
      </c>
      <c r="I52" s="41"/>
    </row>
    <row r="53" spans="2:9" ht="31.5" x14ac:dyDescent="0.25">
      <c r="B53" s="5">
        <v>5</v>
      </c>
      <c r="C53" s="30">
        <f t="shared" ref="C53:C54" si="20">E52</f>
        <v>0.33333333333333331</v>
      </c>
      <c r="D53" s="28" t="s">
        <v>4</v>
      </c>
      <c r="E53" s="29">
        <f t="shared" ref="E53:E54" si="21">C53+F53/1440</f>
        <v>0.41666666666666663</v>
      </c>
      <c r="F53" s="5">
        <v>120</v>
      </c>
      <c r="G53" s="12" t="s">
        <v>29</v>
      </c>
      <c r="H53" s="13" t="s">
        <v>28</v>
      </c>
      <c r="I53" s="41"/>
    </row>
    <row r="54" spans="2:9" ht="47.25" x14ac:dyDescent="0.25">
      <c r="B54" s="5">
        <v>6</v>
      </c>
      <c r="C54" s="30">
        <f t="shared" si="20"/>
        <v>0.41666666666666663</v>
      </c>
      <c r="D54" s="28" t="s">
        <v>4</v>
      </c>
      <c r="E54" s="29">
        <f t="shared" si="21"/>
        <v>0.42708333333333331</v>
      </c>
      <c r="F54" s="5">
        <v>15</v>
      </c>
      <c r="G54" s="6" t="s">
        <v>16</v>
      </c>
      <c r="H54" s="12" t="s">
        <v>24</v>
      </c>
      <c r="I54" s="42"/>
    </row>
    <row r="57" spans="2:9" x14ac:dyDescent="0.25">
      <c r="H57" s="17" t="s">
        <v>40</v>
      </c>
    </row>
    <row r="58" spans="2:9" x14ac:dyDescent="0.25">
      <c r="H58" s="2" t="s">
        <v>17</v>
      </c>
    </row>
    <row r="59" spans="2:9" x14ac:dyDescent="0.25">
      <c r="H59" s="2"/>
    </row>
    <row r="60" spans="2:9" x14ac:dyDescent="0.25">
      <c r="H60" s="2" t="s">
        <v>18</v>
      </c>
    </row>
    <row r="61" spans="2:9" x14ac:dyDescent="0.25">
      <c r="H61" s="2"/>
    </row>
    <row r="62" spans="2:9" x14ac:dyDescent="0.25">
      <c r="H62" s="3" t="s">
        <v>31</v>
      </c>
    </row>
  </sheetData>
  <mergeCells count="9">
    <mergeCell ref="B26:I26"/>
    <mergeCell ref="C48:E48"/>
    <mergeCell ref="B49:I49"/>
    <mergeCell ref="B2:I2"/>
    <mergeCell ref="B3:I3"/>
    <mergeCell ref="B4:I4"/>
    <mergeCell ref="C6:E6"/>
    <mergeCell ref="B7:I7"/>
    <mergeCell ref="C25:E25"/>
  </mergeCells>
  <printOptions horizontalCentered="1"/>
  <pageMargins left="0.19685039370078741" right="0.19685039370078741" top="0.59055118110236227" bottom="0.59055118110236227" header="0.31496062992125984" footer="0.31496062992125984"/>
  <pageSetup paperSize="10000" scale="9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 L460</cp:lastModifiedBy>
  <cp:lastPrinted>2026-07-02T13:17:49Z</cp:lastPrinted>
  <dcterms:created xsi:type="dcterms:W3CDTF">2025-06-27T17:29:09Z</dcterms:created>
  <dcterms:modified xsi:type="dcterms:W3CDTF">2026-07-14T04:42:55Z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39643466654148629c964d973094dbd2</vt:lpwstr>
  </property>
</Properties>
</file>